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E6F216C7-5F70-0A4B-9B44-9F6679269157}" xr6:coauthVersionLast="47" xr6:coauthVersionMax="47" xr10:uidLastSave="{00000000-0000-0000-0000-000000000000}"/>
  <bookViews>
    <workbookView xWindow="0" yWindow="860" windowWidth="34200" windowHeight="20180" activeTab="4" xr2:uid="{00000000-000D-0000-FFFF-FFFF00000000}"/>
  </bookViews>
  <sheets>
    <sheet name="store_performance" sheetId="1" r:id="rId1"/>
    <sheet name="prepared data sheet" sheetId="3" r:id="rId2"/>
    <sheet name="dummy_variable" sheetId="4" r:id="rId3"/>
    <sheet name="Simple Regression" sheetId="5" r:id="rId4"/>
    <sheet name="Multiple Regression" sheetId="6" r:id="rId5"/>
    <sheet name="data_dictionary" sheetId="2" r:id="rId6"/>
  </sheets>
  <definedNames>
    <definedName name="_xlnm._FilterDatabase" localSheetId="1" hidden="1">'prepared data sheet'!$A$1:$N$321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1" i="6" l="1"/>
  <c r="S321" i="6"/>
  <c r="R321" i="6"/>
  <c r="Q321" i="6"/>
  <c r="P321" i="6"/>
  <c r="H321" i="6"/>
  <c r="T320" i="6"/>
  <c r="S320" i="6"/>
  <c r="R320" i="6"/>
  <c r="Q320" i="6"/>
  <c r="P320" i="6"/>
  <c r="H320" i="6"/>
  <c r="T319" i="6"/>
  <c r="S319" i="6"/>
  <c r="R319" i="6"/>
  <c r="Q319" i="6"/>
  <c r="P319" i="6"/>
  <c r="H319" i="6"/>
  <c r="T318" i="6"/>
  <c r="S318" i="6"/>
  <c r="R318" i="6"/>
  <c r="Q318" i="6"/>
  <c r="P318" i="6"/>
  <c r="H318" i="6"/>
  <c r="T317" i="6"/>
  <c r="S317" i="6"/>
  <c r="R317" i="6"/>
  <c r="Q317" i="6"/>
  <c r="P317" i="6"/>
  <c r="H317" i="6"/>
  <c r="T316" i="6"/>
  <c r="S316" i="6"/>
  <c r="R316" i="6"/>
  <c r="Q316" i="6"/>
  <c r="P316" i="6"/>
  <c r="H316" i="6"/>
  <c r="T315" i="6"/>
  <c r="S315" i="6"/>
  <c r="R315" i="6"/>
  <c r="Q315" i="6"/>
  <c r="P315" i="6"/>
  <c r="H315" i="6"/>
  <c r="T314" i="6"/>
  <c r="S314" i="6"/>
  <c r="R314" i="6"/>
  <c r="Q314" i="6"/>
  <c r="P314" i="6"/>
  <c r="H314" i="6"/>
  <c r="T313" i="6"/>
  <c r="S313" i="6"/>
  <c r="R313" i="6"/>
  <c r="Q313" i="6"/>
  <c r="P313" i="6"/>
  <c r="H313" i="6"/>
  <c r="T312" i="6"/>
  <c r="S312" i="6"/>
  <c r="R312" i="6"/>
  <c r="Q312" i="6"/>
  <c r="P312" i="6"/>
  <c r="H312" i="6"/>
  <c r="T311" i="6"/>
  <c r="S311" i="6"/>
  <c r="R311" i="6"/>
  <c r="Q311" i="6"/>
  <c r="P311" i="6"/>
  <c r="H311" i="6"/>
  <c r="T310" i="6"/>
  <c r="S310" i="6"/>
  <c r="R310" i="6"/>
  <c r="Q310" i="6"/>
  <c r="P310" i="6"/>
  <c r="H310" i="6"/>
  <c r="T309" i="6"/>
  <c r="S309" i="6"/>
  <c r="R309" i="6"/>
  <c r="Q309" i="6"/>
  <c r="P309" i="6"/>
  <c r="H309" i="6"/>
  <c r="T308" i="6"/>
  <c r="S308" i="6"/>
  <c r="R308" i="6"/>
  <c r="Q308" i="6"/>
  <c r="P308" i="6"/>
  <c r="H308" i="6"/>
  <c r="T307" i="6"/>
  <c r="S307" i="6"/>
  <c r="R307" i="6"/>
  <c r="Q307" i="6"/>
  <c r="P307" i="6"/>
  <c r="H307" i="6"/>
  <c r="T306" i="6"/>
  <c r="S306" i="6"/>
  <c r="R306" i="6"/>
  <c r="Q306" i="6"/>
  <c r="P306" i="6"/>
  <c r="H306" i="6"/>
  <c r="T305" i="6"/>
  <c r="S305" i="6"/>
  <c r="R305" i="6"/>
  <c r="Q305" i="6"/>
  <c r="P305" i="6"/>
  <c r="H305" i="6"/>
  <c r="T304" i="6"/>
  <c r="S304" i="6"/>
  <c r="R304" i="6"/>
  <c r="Q304" i="6"/>
  <c r="P304" i="6"/>
  <c r="H304" i="6"/>
  <c r="T303" i="6"/>
  <c r="S303" i="6"/>
  <c r="R303" i="6"/>
  <c r="Q303" i="6"/>
  <c r="P303" i="6"/>
  <c r="H303" i="6"/>
  <c r="T302" i="6"/>
  <c r="S302" i="6"/>
  <c r="R302" i="6"/>
  <c r="Q302" i="6"/>
  <c r="P302" i="6"/>
  <c r="H302" i="6"/>
  <c r="T301" i="6"/>
  <c r="S301" i="6"/>
  <c r="R301" i="6"/>
  <c r="Q301" i="6"/>
  <c r="P301" i="6"/>
  <c r="H301" i="6"/>
  <c r="T300" i="6"/>
  <c r="S300" i="6"/>
  <c r="R300" i="6"/>
  <c r="Q300" i="6"/>
  <c r="P300" i="6"/>
  <c r="H300" i="6"/>
  <c r="T299" i="6"/>
  <c r="S299" i="6"/>
  <c r="R299" i="6"/>
  <c r="Q299" i="6"/>
  <c r="P299" i="6"/>
  <c r="H299" i="6"/>
  <c r="T298" i="6"/>
  <c r="S298" i="6"/>
  <c r="R298" i="6"/>
  <c r="Q298" i="6"/>
  <c r="P298" i="6"/>
  <c r="H298" i="6"/>
  <c r="T297" i="6"/>
  <c r="S297" i="6"/>
  <c r="R297" i="6"/>
  <c r="Q297" i="6"/>
  <c r="P297" i="6"/>
  <c r="H297" i="6"/>
  <c r="T296" i="6"/>
  <c r="S296" i="6"/>
  <c r="R296" i="6"/>
  <c r="Q296" i="6"/>
  <c r="P296" i="6"/>
  <c r="H296" i="6"/>
  <c r="T295" i="6"/>
  <c r="S295" i="6"/>
  <c r="R295" i="6"/>
  <c r="Q295" i="6"/>
  <c r="P295" i="6"/>
  <c r="H295" i="6"/>
  <c r="T294" i="6"/>
  <c r="S294" i="6"/>
  <c r="R294" i="6"/>
  <c r="Q294" i="6"/>
  <c r="P294" i="6"/>
  <c r="H294" i="6"/>
  <c r="T293" i="6"/>
  <c r="S293" i="6"/>
  <c r="R293" i="6"/>
  <c r="Q293" i="6"/>
  <c r="P293" i="6"/>
  <c r="H293" i="6"/>
  <c r="T292" i="6"/>
  <c r="S292" i="6"/>
  <c r="R292" i="6"/>
  <c r="Q292" i="6"/>
  <c r="P292" i="6"/>
  <c r="H292" i="6"/>
  <c r="T291" i="6"/>
  <c r="S291" i="6"/>
  <c r="R291" i="6"/>
  <c r="Q291" i="6"/>
  <c r="P291" i="6"/>
  <c r="H291" i="6"/>
  <c r="T290" i="6"/>
  <c r="S290" i="6"/>
  <c r="R290" i="6"/>
  <c r="Q290" i="6"/>
  <c r="P290" i="6"/>
  <c r="H290" i="6"/>
  <c r="T289" i="6"/>
  <c r="S289" i="6"/>
  <c r="R289" i="6"/>
  <c r="Q289" i="6"/>
  <c r="P289" i="6"/>
  <c r="H289" i="6"/>
  <c r="T288" i="6"/>
  <c r="S288" i="6"/>
  <c r="R288" i="6"/>
  <c r="Q288" i="6"/>
  <c r="P288" i="6"/>
  <c r="H288" i="6"/>
  <c r="T287" i="6"/>
  <c r="S287" i="6"/>
  <c r="R287" i="6"/>
  <c r="Q287" i="6"/>
  <c r="P287" i="6"/>
  <c r="H287" i="6"/>
  <c r="T286" i="6"/>
  <c r="S286" i="6"/>
  <c r="R286" i="6"/>
  <c r="Q286" i="6"/>
  <c r="P286" i="6"/>
  <c r="H286" i="6"/>
  <c r="T285" i="6"/>
  <c r="S285" i="6"/>
  <c r="R285" i="6"/>
  <c r="Q285" i="6"/>
  <c r="P285" i="6"/>
  <c r="H285" i="6"/>
  <c r="T284" i="6"/>
  <c r="S284" i="6"/>
  <c r="R284" i="6"/>
  <c r="Q284" i="6"/>
  <c r="P284" i="6"/>
  <c r="H284" i="6"/>
  <c r="T283" i="6"/>
  <c r="S283" i="6"/>
  <c r="R283" i="6"/>
  <c r="Q283" i="6"/>
  <c r="P283" i="6"/>
  <c r="H283" i="6"/>
  <c r="T282" i="6"/>
  <c r="S282" i="6"/>
  <c r="R282" i="6"/>
  <c r="Q282" i="6"/>
  <c r="P282" i="6"/>
  <c r="H282" i="6"/>
  <c r="T281" i="6"/>
  <c r="S281" i="6"/>
  <c r="R281" i="6"/>
  <c r="Q281" i="6"/>
  <c r="P281" i="6"/>
  <c r="H281" i="6"/>
  <c r="T280" i="6"/>
  <c r="S280" i="6"/>
  <c r="R280" i="6"/>
  <c r="Q280" i="6"/>
  <c r="P280" i="6"/>
  <c r="H280" i="6"/>
  <c r="T279" i="6"/>
  <c r="S279" i="6"/>
  <c r="R279" i="6"/>
  <c r="Q279" i="6"/>
  <c r="P279" i="6"/>
  <c r="H279" i="6"/>
  <c r="T278" i="6"/>
  <c r="S278" i="6"/>
  <c r="R278" i="6"/>
  <c r="Q278" i="6"/>
  <c r="P278" i="6"/>
  <c r="H278" i="6"/>
  <c r="T277" i="6"/>
  <c r="S277" i="6"/>
  <c r="R277" i="6"/>
  <c r="Q277" i="6"/>
  <c r="P277" i="6"/>
  <c r="H277" i="6"/>
  <c r="T276" i="6"/>
  <c r="S276" i="6"/>
  <c r="R276" i="6"/>
  <c r="Q276" i="6"/>
  <c r="P276" i="6"/>
  <c r="H276" i="6"/>
  <c r="T275" i="6"/>
  <c r="S275" i="6"/>
  <c r="R275" i="6"/>
  <c r="Q275" i="6"/>
  <c r="P275" i="6"/>
  <c r="H275" i="6"/>
  <c r="T274" i="6"/>
  <c r="S274" i="6"/>
  <c r="R274" i="6"/>
  <c r="Q274" i="6"/>
  <c r="P274" i="6"/>
  <c r="H274" i="6"/>
  <c r="T273" i="6"/>
  <c r="S273" i="6"/>
  <c r="R273" i="6"/>
  <c r="Q273" i="6"/>
  <c r="P273" i="6"/>
  <c r="H273" i="6"/>
  <c r="T272" i="6"/>
  <c r="S272" i="6"/>
  <c r="R272" i="6"/>
  <c r="Q272" i="6"/>
  <c r="P272" i="6"/>
  <c r="H272" i="6"/>
  <c r="T271" i="6"/>
  <c r="S271" i="6"/>
  <c r="R271" i="6"/>
  <c r="Q271" i="6"/>
  <c r="P271" i="6"/>
  <c r="H271" i="6"/>
  <c r="T270" i="6"/>
  <c r="S270" i="6"/>
  <c r="R270" i="6"/>
  <c r="Q270" i="6"/>
  <c r="P270" i="6"/>
  <c r="H270" i="6"/>
  <c r="T269" i="6"/>
  <c r="S269" i="6"/>
  <c r="R269" i="6"/>
  <c r="Q269" i="6"/>
  <c r="P269" i="6"/>
  <c r="H269" i="6"/>
  <c r="T268" i="6"/>
  <c r="S268" i="6"/>
  <c r="R268" i="6"/>
  <c r="Q268" i="6"/>
  <c r="P268" i="6"/>
  <c r="H268" i="6"/>
  <c r="T267" i="6"/>
  <c r="S267" i="6"/>
  <c r="R267" i="6"/>
  <c r="Q267" i="6"/>
  <c r="P267" i="6"/>
  <c r="H267" i="6"/>
  <c r="T266" i="6"/>
  <c r="S266" i="6"/>
  <c r="R266" i="6"/>
  <c r="Q266" i="6"/>
  <c r="P266" i="6"/>
  <c r="H266" i="6"/>
  <c r="T265" i="6"/>
  <c r="S265" i="6"/>
  <c r="R265" i="6"/>
  <c r="Q265" i="6"/>
  <c r="P265" i="6"/>
  <c r="H265" i="6"/>
  <c r="T264" i="6"/>
  <c r="S264" i="6"/>
  <c r="R264" i="6"/>
  <c r="Q264" i="6"/>
  <c r="P264" i="6"/>
  <c r="H264" i="6"/>
  <c r="T263" i="6"/>
  <c r="S263" i="6"/>
  <c r="R263" i="6"/>
  <c r="Q263" i="6"/>
  <c r="P263" i="6"/>
  <c r="H263" i="6"/>
  <c r="T262" i="6"/>
  <c r="S262" i="6"/>
  <c r="R262" i="6"/>
  <c r="Q262" i="6"/>
  <c r="P262" i="6"/>
  <c r="H262" i="6"/>
  <c r="T261" i="6"/>
  <c r="S261" i="6"/>
  <c r="R261" i="6"/>
  <c r="Q261" i="6"/>
  <c r="P261" i="6"/>
  <c r="H261" i="6"/>
  <c r="T260" i="6"/>
  <c r="S260" i="6"/>
  <c r="R260" i="6"/>
  <c r="Q260" i="6"/>
  <c r="P260" i="6"/>
  <c r="H260" i="6"/>
  <c r="T259" i="6"/>
  <c r="S259" i="6"/>
  <c r="R259" i="6"/>
  <c r="Q259" i="6"/>
  <c r="P259" i="6"/>
  <c r="H259" i="6"/>
  <c r="T258" i="6"/>
  <c r="S258" i="6"/>
  <c r="R258" i="6"/>
  <c r="Q258" i="6"/>
  <c r="P258" i="6"/>
  <c r="H258" i="6"/>
  <c r="T257" i="6"/>
  <c r="S257" i="6"/>
  <c r="R257" i="6"/>
  <c r="Q257" i="6"/>
  <c r="P257" i="6"/>
  <c r="H257" i="6"/>
  <c r="T256" i="6"/>
  <c r="S256" i="6"/>
  <c r="R256" i="6"/>
  <c r="Q256" i="6"/>
  <c r="P256" i="6"/>
  <c r="H256" i="6"/>
  <c r="T255" i="6"/>
  <c r="S255" i="6"/>
  <c r="R255" i="6"/>
  <c r="Q255" i="6"/>
  <c r="P255" i="6"/>
  <c r="H255" i="6"/>
  <c r="T254" i="6"/>
  <c r="S254" i="6"/>
  <c r="R254" i="6"/>
  <c r="Q254" i="6"/>
  <c r="P254" i="6"/>
  <c r="H254" i="6"/>
  <c r="T253" i="6"/>
  <c r="S253" i="6"/>
  <c r="R253" i="6"/>
  <c r="Q253" i="6"/>
  <c r="P253" i="6"/>
  <c r="H253" i="6"/>
  <c r="T252" i="6"/>
  <c r="S252" i="6"/>
  <c r="R252" i="6"/>
  <c r="Q252" i="6"/>
  <c r="P252" i="6"/>
  <c r="H252" i="6"/>
  <c r="T251" i="6"/>
  <c r="S251" i="6"/>
  <c r="R251" i="6"/>
  <c r="Q251" i="6"/>
  <c r="P251" i="6"/>
  <c r="H251" i="6"/>
  <c r="T250" i="6"/>
  <c r="S250" i="6"/>
  <c r="R250" i="6"/>
  <c r="Q250" i="6"/>
  <c r="P250" i="6"/>
  <c r="H250" i="6"/>
  <c r="T249" i="6"/>
  <c r="S249" i="6"/>
  <c r="R249" i="6"/>
  <c r="Q249" i="6"/>
  <c r="P249" i="6"/>
  <c r="H249" i="6"/>
  <c r="T248" i="6"/>
  <c r="S248" i="6"/>
  <c r="R248" i="6"/>
  <c r="Q248" i="6"/>
  <c r="P248" i="6"/>
  <c r="H248" i="6"/>
  <c r="T247" i="6"/>
  <c r="S247" i="6"/>
  <c r="R247" i="6"/>
  <c r="Q247" i="6"/>
  <c r="P247" i="6"/>
  <c r="H247" i="6"/>
  <c r="T246" i="6"/>
  <c r="S246" i="6"/>
  <c r="R246" i="6"/>
  <c r="Q246" i="6"/>
  <c r="P246" i="6"/>
  <c r="H246" i="6"/>
  <c r="T245" i="6"/>
  <c r="S245" i="6"/>
  <c r="R245" i="6"/>
  <c r="Q245" i="6"/>
  <c r="P245" i="6"/>
  <c r="H245" i="6"/>
  <c r="T244" i="6"/>
  <c r="S244" i="6"/>
  <c r="R244" i="6"/>
  <c r="Q244" i="6"/>
  <c r="P244" i="6"/>
  <c r="H244" i="6"/>
  <c r="T243" i="6"/>
  <c r="S243" i="6"/>
  <c r="R243" i="6"/>
  <c r="Q243" i="6"/>
  <c r="P243" i="6"/>
  <c r="H243" i="6"/>
  <c r="T242" i="6"/>
  <c r="S242" i="6"/>
  <c r="R242" i="6"/>
  <c r="Q242" i="6"/>
  <c r="P242" i="6"/>
  <c r="H242" i="6"/>
  <c r="T241" i="6"/>
  <c r="S241" i="6"/>
  <c r="R241" i="6"/>
  <c r="Q241" i="6"/>
  <c r="P241" i="6"/>
  <c r="H241" i="6"/>
  <c r="T240" i="6"/>
  <c r="S240" i="6"/>
  <c r="R240" i="6"/>
  <c r="Q240" i="6"/>
  <c r="P240" i="6"/>
  <c r="H240" i="6"/>
  <c r="T239" i="6"/>
  <c r="S239" i="6"/>
  <c r="R239" i="6"/>
  <c r="Q239" i="6"/>
  <c r="P239" i="6"/>
  <c r="H239" i="6"/>
  <c r="T238" i="6"/>
  <c r="S238" i="6"/>
  <c r="R238" i="6"/>
  <c r="Q238" i="6"/>
  <c r="P238" i="6"/>
  <c r="H238" i="6"/>
  <c r="T237" i="6"/>
  <c r="S237" i="6"/>
  <c r="R237" i="6"/>
  <c r="Q237" i="6"/>
  <c r="P237" i="6"/>
  <c r="H237" i="6"/>
  <c r="T236" i="6"/>
  <c r="S236" i="6"/>
  <c r="R236" i="6"/>
  <c r="Q236" i="6"/>
  <c r="P236" i="6"/>
  <c r="H236" i="6"/>
  <c r="T235" i="6"/>
  <c r="S235" i="6"/>
  <c r="R235" i="6"/>
  <c r="Q235" i="6"/>
  <c r="P235" i="6"/>
  <c r="H235" i="6"/>
  <c r="T234" i="6"/>
  <c r="S234" i="6"/>
  <c r="R234" i="6"/>
  <c r="Q234" i="6"/>
  <c r="P234" i="6"/>
  <c r="H234" i="6"/>
  <c r="T233" i="6"/>
  <c r="S233" i="6"/>
  <c r="R233" i="6"/>
  <c r="Q233" i="6"/>
  <c r="P233" i="6"/>
  <c r="H233" i="6"/>
  <c r="T232" i="6"/>
  <c r="S232" i="6"/>
  <c r="R232" i="6"/>
  <c r="Q232" i="6"/>
  <c r="P232" i="6"/>
  <c r="H232" i="6"/>
  <c r="T231" i="6"/>
  <c r="S231" i="6"/>
  <c r="R231" i="6"/>
  <c r="Q231" i="6"/>
  <c r="P231" i="6"/>
  <c r="H231" i="6"/>
  <c r="T230" i="6"/>
  <c r="S230" i="6"/>
  <c r="R230" i="6"/>
  <c r="Q230" i="6"/>
  <c r="P230" i="6"/>
  <c r="H230" i="6"/>
  <c r="T229" i="6"/>
  <c r="S229" i="6"/>
  <c r="R229" i="6"/>
  <c r="Q229" i="6"/>
  <c r="P229" i="6"/>
  <c r="H229" i="6"/>
  <c r="T228" i="6"/>
  <c r="S228" i="6"/>
  <c r="R228" i="6"/>
  <c r="Q228" i="6"/>
  <c r="P228" i="6"/>
  <c r="H228" i="6"/>
  <c r="T227" i="6"/>
  <c r="S227" i="6"/>
  <c r="R227" i="6"/>
  <c r="Q227" i="6"/>
  <c r="P227" i="6"/>
  <c r="H227" i="6"/>
  <c r="T226" i="6"/>
  <c r="S226" i="6"/>
  <c r="R226" i="6"/>
  <c r="Q226" i="6"/>
  <c r="P226" i="6"/>
  <c r="H226" i="6"/>
  <c r="T225" i="6"/>
  <c r="S225" i="6"/>
  <c r="R225" i="6"/>
  <c r="Q225" i="6"/>
  <c r="P225" i="6"/>
  <c r="H225" i="6"/>
  <c r="T224" i="6"/>
  <c r="S224" i="6"/>
  <c r="R224" i="6"/>
  <c r="Q224" i="6"/>
  <c r="P224" i="6"/>
  <c r="H224" i="6"/>
  <c r="T223" i="6"/>
  <c r="S223" i="6"/>
  <c r="R223" i="6"/>
  <c r="Q223" i="6"/>
  <c r="P223" i="6"/>
  <c r="H223" i="6"/>
  <c r="T222" i="6"/>
  <c r="S222" i="6"/>
  <c r="R222" i="6"/>
  <c r="Q222" i="6"/>
  <c r="P222" i="6"/>
  <c r="H222" i="6"/>
  <c r="T221" i="6"/>
  <c r="S221" i="6"/>
  <c r="R221" i="6"/>
  <c r="Q221" i="6"/>
  <c r="P221" i="6"/>
  <c r="H221" i="6"/>
  <c r="T220" i="6"/>
  <c r="S220" i="6"/>
  <c r="R220" i="6"/>
  <c r="Q220" i="6"/>
  <c r="P220" i="6"/>
  <c r="H220" i="6"/>
  <c r="T219" i="6"/>
  <c r="S219" i="6"/>
  <c r="R219" i="6"/>
  <c r="Q219" i="6"/>
  <c r="P219" i="6"/>
  <c r="H219" i="6"/>
  <c r="T218" i="6"/>
  <c r="S218" i="6"/>
  <c r="R218" i="6"/>
  <c r="Q218" i="6"/>
  <c r="P218" i="6"/>
  <c r="H218" i="6"/>
  <c r="T217" i="6"/>
  <c r="S217" i="6"/>
  <c r="R217" i="6"/>
  <c r="Q217" i="6"/>
  <c r="P217" i="6"/>
  <c r="H217" i="6"/>
  <c r="T216" i="6"/>
  <c r="S216" i="6"/>
  <c r="R216" i="6"/>
  <c r="Q216" i="6"/>
  <c r="P216" i="6"/>
  <c r="H216" i="6"/>
  <c r="T215" i="6"/>
  <c r="S215" i="6"/>
  <c r="R215" i="6"/>
  <c r="Q215" i="6"/>
  <c r="P215" i="6"/>
  <c r="H215" i="6"/>
  <c r="T214" i="6"/>
  <c r="S214" i="6"/>
  <c r="R214" i="6"/>
  <c r="Q214" i="6"/>
  <c r="P214" i="6"/>
  <c r="H214" i="6"/>
  <c r="T213" i="6"/>
  <c r="S213" i="6"/>
  <c r="R213" i="6"/>
  <c r="Q213" i="6"/>
  <c r="P213" i="6"/>
  <c r="H213" i="6"/>
  <c r="T212" i="6"/>
  <c r="S212" i="6"/>
  <c r="R212" i="6"/>
  <c r="Q212" i="6"/>
  <c r="P212" i="6"/>
  <c r="H212" i="6"/>
  <c r="T211" i="6"/>
  <c r="S211" i="6"/>
  <c r="R211" i="6"/>
  <c r="Q211" i="6"/>
  <c r="P211" i="6"/>
  <c r="H211" i="6"/>
  <c r="T210" i="6"/>
  <c r="S210" i="6"/>
  <c r="R210" i="6"/>
  <c r="Q210" i="6"/>
  <c r="P210" i="6"/>
  <c r="H210" i="6"/>
  <c r="T209" i="6"/>
  <c r="S209" i="6"/>
  <c r="R209" i="6"/>
  <c r="Q209" i="6"/>
  <c r="P209" i="6"/>
  <c r="H209" i="6"/>
  <c r="T208" i="6"/>
  <c r="S208" i="6"/>
  <c r="R208" i="6"/>
  <c r="Q208" i="6"/>
  <c r="P208" i="6"/>
  <c r="H208" i="6"/>
  <c r="T207" i="6"/>
  <c r="S207" i="6"/>
  <c r="R207" i="6"/>
  <c r="Q207" i="6"/>
  <c r="P207" i="6"/>
  <c r="H207" i="6"/>
  <c r="T206" i="6"/>
  <c r="S206" i="6"/>
  <c r="R206" i="6"/>
  <c r="Q206" i="6"/>
  <c r="P206" i="6"/>
  <c r="H206" i="6"/>
  <c r="T205" i="6"/>
  <c r="S205" i="6"/>
  <c r="R205" i="6"/>
  <c r="Q205" i="6"/>
  <c r="P205" i="6"/>
  <c r="H205" i="6"/>
  <c r="T204" i="6"/>
  <c r="S204" i="6"/>
  <c r="R204" i="6"/>
  <c r="Q204" i="6"/>
  <c r="P204" i="6"/>
  <c r="H204" i="6"/>
  <c r="T203" i="6"/>
  <c r="S203" i="6"/>
  <c r="R203" i="6"/>
  <c r="Q203" i="6"/>
  <c r="P203" i="6"/>
  <c r="H203" i="6"/>
  <c r="T202" i="6"/>
  <c r="S202" i="6"/>
  <c r="R202" i="6"/>
  <c r="Q202" i="6"/>
  <c r="P202" i="6"/>
  <c r="H202" i="6"/>
  <c r="T201" i="6"/>
  <c r="S201" i="6"/>
  <c r="R201" i="6"/>
  <c r="Q201" i="6"/>
  <c r="P201" i="6"/>
  <c r="H201" i="6"/>
  <c r="T200" i="6"/>
  <c r="S200" i="6"/>
  <c r="R200" i="6"/>
  <c r="Q200" i="6"/>
  <c r="P200" i="6"/>
  <c r="H200" i="6"/>
  <c r="T199" i="6"/>
  <c r="S199" i="6"/>
  <c r="R199" i="6"/>
  <c r="Q199" i="6"/>
  <c r="P199" i="6"/>
  <c r="H199" i="6"/>
  <c r="T198" i="6"/>
  <c r="S198" i="6"/>
  <c r="R198" i="6"/>
  <c r="Q198" i="6"/>
  <c r="P198" i="6"/>
  <c r="H198" i="6"/>
  <c r="T197" i="6"/>
  <c r="S197" i="6"/>
  <c r="R197" i="6"/>
  <c r="Q197" i="6"/>
  <c r="P197" i="6"/>
  <c r="H197" i="6"/>
  <c r="T196" i="6"/>
  <c r="S196" i="6"/>
  <c r="R196" i="6"/>
  <c r="Q196" i="6"/>
  <c r="P196" i="6"/>
  <c r="H196" i="6"/>
  <c r="T195" i="6"/>
  <c r="S195" i="6"/>
  <c r="R195" i="6"/>
  <c r="Q195" i="6"/>
  <c r="P195" i="6"/>
  <c r="H195" i="6"/>
  <c r="T194" i="6"/>
  <c r="S194" i="6"/>
  <c r="R194" i="6"/>
  <c r="Q194" i="6"/>
  <c r="P194" i="6"/>
  <c r="H194" i="6"/>
  <c r="T193" i="6"/>
  <c r="S193" i="6"/>
  <c r="R193" i="6"/>
  <c r="Q193" i="6"/>
  <c r="P193" i="6"/>
  <c r="H193" i="6"/>
  <c r="T192" i="6"/>
  <c r="S192" i="6"/>
  <c r="R192" i="6"/>
  <c r="Q192" i="6"/>
  <c r="P192" i="6"/>
  <c r="H192" i="6"/>
  <c r="T191" i="6"/>
  <c r="S191" i="6"/>
  <c r="R191" i="6"/>
  <c r="Q191" i="6"/>
  <c r="P191" i="6"/>
  <c r="H191" i="6"/>
  <c r="T190" i="6"/>
  <c r="S190" i="6"/>
  <c r="R190" i="6"/>
  <c r="Q190" i="6"/>
  <c r="P190" i="6"/>
  <c r="H190" i="6"/>
  <c r="T189" i="6"/>
  <c r="S189" i="6"/>
  <c r="R189" i="6"/>
  <c r="Q189" i="6"/>
  <c r="P189" i="6"/>
  <c r="H189" i="6"/>
  <c r="T188" i="6"/>
  <c r="S188" i="6"/>
  <c r="R188" i="6"/>
  <c r="Q188" i="6"/>
  <c r="P188" i="6"/>
  <c r="H188" i="6"/>
  <c r="T187" i="6"/>
  <c r="S187" i="6"/>
  <c r="R187" i="6"/>
  <c r="Q187" i="6"/>
  <c r="P187" i="6"/>
  <c r="H187" i="6"/>
  <c r="T186" i="6"/>
  <c r="S186" i="6"/>
  <c r="R186" i="6"/>
  <c r="Q186" i="6"/>
  <c r="P186" i="6"/>
  <c r="H186" i="6"/>
  <c r="T185" i="6"/>
  <c r="S185" i="6"/>
  <c r="R185" i="6"/>
  <c r="Q185" i="6"/>
  <c r="P185" i="6"/>
  <c r="H185" i="6"/>
  <c r="T184" i="6"/>
  <c r="S184" i="6"/>
  <c r="R184" i="6"/>
  <c r="Q184" i="6"/>
  <c r="P184" i="6"/>
  <c r="H184" i="6"/>
  <c r="T183" i="6"/>
  <c r="S183" i="6"/>
  <c r="R183" i="6"/>
  <c r="Q183" i="6"/>
  <c r="P183" i="6"/>
  <c r="H183" i="6"/>
  <c r="T182" i="6"/>
  <c r="S182" i="6"/>
  <c r="R182" i="6"/>
  <c r="Q182" i="6"/>
  <c r="P182" i="6"/>
  <c r="H182" i="6"/>
  <c r="T181" i="6"/>
  <c r="S181" i="6"/>
  <c r="R181" i="6"/>
  <c r="Q181" i="6"/>
  <c r="P181" i="6"/>
  <c r="H181" i="6"/>
  <c r="T180" i="6"/>
  <c r="S180" i="6"/>
  <c r="R180" i="6"/>
  <c r="Q180" i="6"/>
  <c r="P180" i="6"/>
  <c r="H180" i="6"/>
  <c r="T179" i="6"/>
  <c r="S179" i="6"/>
  <c r="R179" i="6"/>
  <c r="Q179" i="6"/>
  <c r="P179" i="6"/>
  <c r="H179" i="6"/>
  <c r="T178" i="6"/>
  <c r="S178" i="6"/>
  <c r="R178" i="6"/>
  <c r="Q178" i="6"/>
  <c r="P178" i="6"/>
  <c r="H178" i="6"/>
  <c r="T177" i="6"/>
  <c r="S177" i="6"/>
  <c r="R177" i="6"/>
  <c r="Q177" i="6"/>
  <c r="P177" i="6"/>
  <c r="H177" i="6"/>
  <c r="T176" i="6"/>
  <c r="S176" i="6"/>
  <c r="R176" i="6"/>
  <c r="Q176" i="6"/>
  <c r="P176" i="6"/>
  <c r="H176" i="6"/>
  <c r="T175" i="6"/>
  <c r="S175" i="6"/>
  <c r="R175" i="6"/>
  <c r="Q175" i="6"/>
  <c r="P175" i="6"/>
  <c r="H175" i="6"/>
  <c r="T174" i="6"/>
  <c r="S174" i="6"/>
  <c r="R174" i="6"/>
  <c r="Q174" i="6"/>
  <c r="P174" i="6"/>
  <c r="H174" i="6"/>
  <c r="T173" i="6"/>
  <c r="S173" i="6"/>
  <c r="R173" i="6"/>
  <c r="Q173" i="6"/>
  <c r="P173" i="6"/>
  <c r="H173" i="6"/>
  <c r="T172" i="6"/>
  <c r="S172" i="6"/>
  <c r="R172" i="6"/>
  <c r="Q172" i="6"/>
  <c r="P172" i="6"/>
  <c r="H172" i="6"/>
  <c r="T171" i="6"/>
  <c r="S171" i="6"/>
  <c r="R171" i="6"/>
  <c r="Q171" i="6"/>
  <c r="P171" i="6"/>
  <c r="H171" i="6"/>
  <c r="T170" i="6"/>
  <c r="S170" i="6"/>
  <c r="R170" i="6"/>
  <c r="Q170" i="6"/>
  <c r="P170" i="6"/>
  <c r="H170" i="6"/>
  <c r="T169" i="6"/>
  <c r="S169" i="6"/>
  <c r="R169" i="6"/>
  <c r="Q169" i="6"/>
  <c r="P169" i="6"/>
  <c r="H169" i="6"/>
  <c r="T168" i="6"/>
  <c r="S168" i="6"/>
  <c r="R168" i="6"/>
  <c r="Q168" i="6"/>
  <c r="P168" i="6"/>
  <c r="H168" i="6"/>
  <c r="T167" i="6"/>
  <c r="S167" i="6"/>
  <c r="R167" i="6"/>
  <c r="Q167" i="6"/>
  <c r="P167" i="6"/>
  <c r="H167" i="6"/>
  <c r="T166" i="6"/>
  <c r="S166" i="6"/>
  <c r="R166" i="6"/>
  <c r="Q166" i="6"/>
  <c r="P166" i="6"/>
  <c r="H166" i="6"/>
  <c r="T165" i="6"/>
  <c r="S165" i="6"/>
  <c r="R165" i="6"/>
  <c r="Q165" i="6"/>
  <c r="P165" i="6"/>
  <c r="H165" i="6"/>
  <c r="T164" i="6"/>
  <c r="S164" i="6"/>
  <c r="R164" i="6"/>
  <c r="Q164" i="6"/>
  <c r="P164" i="6"/>
  <c r="H164" i="6"/>
  <c r="T163" i="6"/>
  <c r="S163" i="6"/>
  <c r="R163" i="6"/>
  <c r="Q163" i="6"/>
  <c r="P163" i="6"/>
  <c r="H163" i="6"/>
  <c r="T162" i="6"/>
  <c r="S162" i="6"/>
  <c r="R162" i="6"/>
  <c r="Q162" i="6"/>
  <c r="P162" i="6"/>
  <c r="H162" i="6"/>
  <c r="T161" i="6"/>
  <c r="S161" i="6"/>
  <c r="R161" i="6"/>
  <c r="Q161" i="6"/>
  <c r="P161" i="6"/>
  <c r="H161" i="6"/>
  <c r="T160" i="6"/>
  <c r="S160" i="6"/>
  <c r="R160" i="6"/>
  <c r="Q160" i="6"/>
  <c r="P160" i="6"/>
  <c r="H160" i="6"/>
  <c r="T159" i="6"/>
  <c r="S159" i="6"/>
  <c r="R159" i="6"/>
  <c r="Q159" i="6"/>
  <c r="P159" i="6"/>
  <c r="H159" i="6"/>
  <c r="T158" i="6"/>
  <c r="S158" i="6"/>
  <c r="R158" i="6"/>
  <c r="Q158" i="6"/>
  <c r="P158" i="6"/>
  <c r="H158" i="6"/>
  <c r="T157" i="6"/>
  <c r="S157" i="6"/>
  <c r="R157" i="6"/>
  <c r="Q157" i="6"/>
  <c r="P157" i="6"/>
  <c r="H157" i="6"/>
  <c r="T156" i="6"/>
  <c r="S156" i="6"/>
  <c r="R156" i="6"/>
  <c r="Q156" i="6"/>
  <c r="P156" i="6"/>
  <c r="H156" i="6"/>
  <c r="T155" i="6"/>
  <c r="S155" i="6"/>
  <c r="R155" i="6"/>
  <c r="Q155" i="6"/>
  <c r="P155" i="6"/>
  <c r="H155" i="6"/>
  <c r="T154" i="6"/>
  <c r="S154" i="6"/>
  <c r="R154" i="6"/>
  <c r="Q154" i="6"/>
  <c r="P154" i="6"/>
  <c r="H154" i="6"/>
  <c r="T153" i="6"/>
  <c r="S153" i="6"/>
  <c r="R153" i="6"/>
  <c r="Q153" i="6"/>
  <c r="P153" i="6"/>
  <c r="H153" i="6"/>
  <c r="T152" i="6"/>
  <c r="S152" i="6"/>
  <c r="R152" i="6"/>
  <c r="Q152" i="6"/>
  <c r="P152" i="6"/>
  <c r="H152" i="6"/>
  <c r="T151" i="6"/>
  <c r="S151" i="6"/>
  <c r="R151" i="6"/>
  <c r="Q151" i="6"/>
  <c r="P151" i="6"/>
  <c r="H151" i="6"/>
  <c r="T150" i="6"/>
  <c r="S150" i="6"/>
  <c r="R150" i="6"/>
  <c r="Q150" i="6"/>
  <c r="P150" i="6"/>
  <c r="H150" i="6"/>
  <c r="T149" i="6"/>
  <c r="S149" i="6"/>
  <c r="R149" i="6"/>
  <c r="Q149" i="6"/>
  <c r="P149" i="6"/>
  <c r="H149" i="6"/>
  <c r="T148" i="6"/>
  <c r="S148" i="6"/>
  <c r="R148" i="6"/>
  <c r="Q148" i="6"/>
  <c r="P148" i="6"/>
  <c r="H148" i="6"/>
  <c r="T147" i="6"/>
  <c r="S147" i="6"/>
  <c r="R147" i="6"/>
  <c r="Q147" i="6"/>
  <c r="P147" i="6"/>
  <c r="H147" i="6"/>
  <c r="T146" i="6"/>
  <c r="S146" i="6"/>
  <c r="R146" i="6"/>
  <c r="Q146" i="6"/>
  <c r="P146" i="6"/>
  <c r="H146" i="6"/>
  <c r="T145" i="6"/>
  <c r="S145" i="6"/>
  <c r="R145" i="6"/>
  <c r="Q145" i="6"/>
  <c r="P145" i="6"/>
  <c r="H145" i="6"/>
  <c r="T144" i="6"/>
  <c r="S144" i="6"/>
  <c r="R144" i="6"/>
  <c r="Q144" i="6"/>
  <c r="P144" i="6"/>
  <c r="H144" i="6"/>
  <c r="T143" i="6"/>
  <c r="S143" i="6"/>
  <c r="R143" i="6"/>
  <c r="Q143" i="6"/>
  <c r="P143" i="6"/>
  <c r="H143" i="6"/>
  <c r="T142" i="6"/>
  <c r="S142" i="6"/>
  <c r="R142" i="6"/>
  <c r="Q142" i="6"/>
  <c r="P142" i="6"/>
  <c r="H142" i="6"/>
  <c r="T141" i="6"/>
  <c r="S141" i="6"/>
  <c r="R141" i="6"/>
  <c r="Q141" i="6"/>
  <c r="P141" i="6"/>
  <c r="H141" i="6"/>
  <c r="T140" i="6"/>
  <c r="S140" i="6"/>
  <c r="R140" i="6"/>
  <c r="Q140" i="6"/>
  <c r="P140" i="6"/>
  <c r="H140" i="6"/>
  <c r="T139" i="6"/>
  <c r="S139" i="6"/>
  <c r="R139" i="6"/>
  <c r="Q139" i="6"/>
  <c r="P139" i="6"/>
  <c r="H139" i="6"/>
  <c r="T138" i="6"/>
  <c r="S138" i="6"/>
  <c r="R138" i="6"/>
  <c r="Q138" i="6"/>
  <c r="P138" i="6"/>
  <c r="H138" i="6"/>
  <c r="T137" i="6"/>
  <c r="S137" i="6"/>
  <c r="R137" i="6"/>
  <c r="Q137" i="6"/>
  <c r="P137" i="6"/>
  <c r="H137" i="6"/>
  <c r="T136" i="6"/>
  <c r="S136" i="6"/>
  <c r="R136" i="6"/>
  <c r="Q136" i="6"/>
  <c r="P136" i="6"/>
  <c r="H136" i="6"/>
  <c r="T135" i="6"/>
  <c r="S135" i="6"/>
  <c r="R135" i="6"/>
  <c r="Q135" i="6"/>
  <c r="P135" i="6"/>
  <c r="H135" i="6"/>
  <c r="T134" i="6"/>
  <c r="S134" i="6"/>
  <c r="R134" i="6"/>
  <c r="Q134" i="6"/>
  <c r="P134" i="6"/>
  <c r="H134" i="6"/>
  <c r="T133" i="6"/>
  <c r="S133" i="6"/>
  <c r="R133" i="6"/>
  <c r="Q133" i="6"/>
  <c r="P133" i="6"/>
  <c r="H133" i="6"/>
  <c r="T132" i="6"/>
  <c r="S132" i="6"/>
  <c r="R132" i="6"/>
  <c r="Q132" i="6"/>
  <c r="P132" i="6"/>
  <c r="H132" i="6"/>
  <c r="T131" i="6"/>
  <c r="S131" i="6"/>
  <c r="R131" i="6"/>
  <c r="Q131" i="6"/>
  <c r="P131" i="6"/>
  <c r="H131" i="6"/>
  <c r="T130" i="6"/>
  <c r="S130" i="6"/>
  <c r="R130" i="6"/>
  <c r="Q130" i="6"/>
  <c r="P130" i="6"/>
  <c r="H130" i="6"/>
  <c r="T129" i="6"/>
  <c r="S129" i="6"/>
  <c r="R129" i="6"/>
  <c r="Q129" i="6"/>
  <c r="P129" i="6"/>
  <c r="H129" i="6"/>
  <c r="T128" i="6"/>
  <c r="S128" i="6"/>
  <c r="R128" i="6"/>
  <c r="Q128" i="6"/>
  <c r="P128" i="6"/>
  <c r="H128" i="6"/>
  <c r="T127" i="6"/>
  <c r="S127" i="6"/>
  <c r="R127" i="6"/>
  <c r="Q127" i="6"/>
  <c r="P127" i="6"/>
  <c r="H127" i="6"/>
  <c r="T126" i="6"/>
  <c r="S126" i="6"/>
  <c r="R126" i="6"/>
  <c r="Q126" i="6"/>
  <c r="P126" i="6"/>
  <c r="H126" i="6"/>
  <c r="T125" i="6"/>
  <c r="S125" i="6"/>
  <c r="R125" i="6"/>
  <c r="Q125" i="6"/>
  <c r="P125" i="6"/>
  <c r="H125" i="6"/>
  <c r="T124" i="6"/>
  <c r="S124" i="6"/>
  <c r="R124" i="6"/>
  <c r="Q124" i="6"/>
  <c r="P124" i="6"/>
  <c r="H124" i="6"/>
  <c r="T123" i="6"/>
  <c r="S123" i="6"/>
  <c r="R123" i="6"/>
  <c r="Q123" i="6"/>
  <c r="P123" i="6"/>
  <c r="H123" i="6"/>
  <c r="T122" i="6"/>
  <c r="S122" i="6"/>
  <c r="R122" i="6"/>
  <c r="Q122" i="6"/>
  <c r="P122" i="6"/>
  <c r="H122" i="6"/>
  <c r="T121" i="6"/>
  <c r="S121" i="6"/>
  <c r="R121" i="6"/>
  <c r="Q121" i="6"/>
  <c r="P121" i="6"/>
  <c r="H121" i="6"/>
  <c r="T120" i="6"/>
  <c r="S120" i="6"/>
  <c r="R120" i="6"/>
  <c r="Q120" i="6"/>
  <c r="P120" i="6"/>
  <c r="H120" i="6"/>
  <c r="T119" i="6"/>
  <c r="S119" i="6"/>
  <c r="R119" i="6"/>
  <c r="Q119" i="6"/>
  <c r="P119" i="6"/>
  <c r="H119" i="6"/>
  <c r="T118" i="6"/>
  <c r="S118" i="6"/>
  <c r="R118" i="6"/>
  <c r="Q118" i="6"/>
  <c r="P118" i="6"/>
  <c r="H118" i="6"/>
  <c r="T117" i="6"/>
  <c r="S117" i="6"/>
  <c r="R117" i="6"/>
  <c r="Q117" i="6"/>
  <c r="P117" i="6"/>
  <c r="H117" i="6"/>
  <c r="T116" i="6"/>
  <c r="S116" i="6"/>
  <c r="R116" i="6"/>
  <c r="Q116" i="6"/>
  <c r="P116" i="6"/>
  <c r="H116" i="6"/>
  <c r="T115" i="6"/>
  <c r="S115" i="6"/>
  <c r="R115" i="6"/>
  <c r="Q115" i="6"/>
  <c r="P115" i="6"/>
  <c r="H115" i="6"/>
  <c r="T114" i="6"/>
  <c r="S114" i="6"/>
  <c r="R114" i="6"/>
  <c r="Q114" i="6"/>
  <c r="P114" i="6"/>
  <c r="H114" i="6"/>
  <c r="T113" i="6"/>
  <c r="S113" i="6"/>
  <c r="R113" i="6"/>
  <c r="Q113" i="6"/>
  <c r="P113" i="6"/>
  <c r="H113" i="6"/>
  <c r="T112" i="6"/>
  <c r="S112" i="6"/>
  <c r="R112" i="6"/>
  <c r="Q112" i="6"/>
  <c r="P112" i="6"/>
  <c r="H112" i="6"/>
  <c r="T111" i="6"/>
  <c r="S111" i="6"/>
  <c r="R111" i="6"/>
  <c r="Q111" i="6"/>
  <c r="P111" i="6"/>
  <c r="H111" i="6"/>
  <c r="T110" i="6"/>
  <c r="S110" i="6"/>
  <c r="R110" i="6"/>
  <c r="Q110" i="6"/>
  <c r="P110" i="6"/>
  <c r="H110" i="6"/>
  <c r="T109" i="6"/>
  <c r="S109" i="6"/>
  <c r="R109" i="6"/>
  <c r="Q109" i="6"/>
  <c r="P109" i="6"/>
  <c r="H109" i="6"/>
  <c r="T108" i="6"/>
  <c r="S108" i="6"/>
  <c r="R108" i="6"/>
  <c r="Q108" i="6"/>
  <c r="P108" i="6"/>
  <c r="H108" i="6"/>
  <c r="T107" i="6"/>
  <c r="S107" i="6"/>
  <c r="R107" i="6"/>
  <c r="Q107" i="6"/>
  <c r="P107" i="6"/>
  <c r="H107" i="6"/>
  <c r="T106" i="6"/>
  <c r="S106" i="6"/>
  <c r="R106" i="6"/>
  <c r="Q106" i="6"/>
  <c r="P106" i="6"/>
  <c r="H106" i="6"/>
  <c r="T105" i="6"/>
  <c r="S105" i="6"/>
  <c r="R105" i="6"/>
  <c r="Q105" i="6"/>
  <c r="P105" i="6"/>
  <c r="H105" i="6"/>
  <c r="T104" i="6"/>
  <c r="S104" i="6"/>
  <c r="R104" i="6"/>
  <c r="Q104" i="6"/>
  <c r="P104" i="6"/>
  <c r="H104" i="6"/>
  <c r="T103" i="6"/>
  <c r="S103" i="6"/>
  <c r="R103" i="6"/>
  <c r="Q103" i="6"/>
  <c r="P103" i="6"/>
  <c r="H103" i="6"/>
  <c r="T102" i="6"/>
  <c r="S102" i="6"/>
  <c r="R102" i="6"/>
  <c r="Q102" i="6"/>
  <c r="P102" i="6"/>
  <c r="H102" i="6"/>
  <c r="T101" i="6"/>
  <c r="S101" i="6"/>
  <c r="R101" i="6"/>
  <c r="Q101" i="6"/>
  <c r="P101" i="6"/>
  <c r="H101" i="6"/>
  <c r="T100" i="6"/>
  <c r="S100" i="6"/>
  <c r="R100" i="6"/>
  <c r="Q100" i="6"/>
  <c r="P100" i="6"/>
  <c r="H100" i="6"/>
  <c r="T99" i="6"/>
  <c r="S99" i="6"/>
  <c r="R99" i="6"/>
  <c r="Q99" i="6"/>
  <c r="P99" i="6"/>
  <c r="H99" i="6"/>
  <c r="T98" i="6"/>
  <c r="S98" i="6"/>
  <c r="R98" i="6"/>
  <c r="Q98" i="6"/>
  <c r="P98" i="6"/>
  <c r="H98" i="6"/>
  <c r="T97" i="6"/>
  <c r="S97" i="6"/>
  <c r="R97" i="6"/>
  <c r="Q97" i="6"/>
  <c r="P97" i="6"/>
  <c r="H97" i="6"/>
  <c r="T96" i="6"/>
  <c r="S96" i="6"/>
  <c r="R96" i="6"/>
  <c r="Q96" i="6"/>
  <c r="P96" i="6"/>
  <c r="H96" i="6"/>
  <c r="T95" i="6"/>
  <c r="S95" i="6"/>
  <c r="R95" i="6"/>
  <c r="Q95" i="6"/>
  <c r="P95" i="6"/>
  <c r="H95" i="6"/>
  <c r="T94" i="6"/>
  <c r="S94" i="6"/>
  <c r="R94" i="6"/>
  <c r="Q94" i="6"/>
  <c r="P94" i="6"/>
  <c r="H94" i="6"/>
  <c r="T93" i="6"/>
  <c r="S93" i="6"/>
  <c r="R93" i="6"/>
  <c r="Q93" i="6"/>
  <c r="P93" i="6"/>
  <c r="H93" i="6"/>
  <c r="T92" i="6"/>
  <c r="S92" i="6"/>
  <c r="R92" i="6"/>
  <c r="Q92" i="6"/>
  <c r="P92" i="6"/>
  <c r="H92" i="6"/>
  <c r="T91" i="6"/>
  <c r="S91" i="6"/>
  <c r="R91" i="6"/>
  <c r="Q91" i="6"/>
  <c r="P91" i="6"/>
  <c r="H91" i="6"/>
  <c r="T90" i="6"/>
  <c r="S90" i="6"/>
  <c r="R90" i="6"/>
  <c r="Q90" i="6"/>
  <c r="P90" i="6"/>
  <c r="H90" i="6"/>
  <c r="T89" i="6"/>
  <c r="S89" i="6"/>
  <c r="R89" i="6"/>
  <c r="Q89" i="6"/>
  <c r="P89" i="6"/>
  <c r="H89" i="6"/>
  <c r="T88" i="6"/>
  <c r="S88" i="6"/>
  <c r="R88" i="6"/>
  <c r="Q88" i="6"/>
  <c r="P88" i="6"/>
  <c r="H88" i="6"/>
  <c r="T87" i="6"/>
  <c r="S87" i="6"/>
  <c r="R87" i="6"/>
  <c r="Q87" i="6"/>
  <c r="P87" i="6"/>
  <c r="H87" i="6"/>
  <c r="T86" i="6"/>
  <c r="S86" i="6"/>
  <c r="R86" i="6"/>
  <c r="Q86" i="6"/>
  <c r="P86" i="6"/>
  <c r="H86" i="6"/>
  <c r="T85" i="6"/>
  <c r="S85" i="6"/>
  <c r="R85" i="6"/>
  <c r="Q85" i="6"/>
  <c r="P85" i="6"/>
  <c r="H85" i="6"/>
  <c r="T84" i="6"/>
  <c r="S84" i="6"/>
  <c r="R84" i="6"/>
  <c r="Q84" i="6"/>
  <c r="P84" i="6"/>
  <c r="H84" i="6"/>
  <c r="T83" i="6"/>
  <c r="S83" i="6"/>
  <c r="R83" i="6"/>
  <c r="Q83" i="6"/>
  <c r="P83" i="6"/>
  <c r="H83" i="6"/>
  <c r="T82" i="6"/>
  <c r="S82" i="6"/>
  <c r="R82" i="6"/>
  <c r="Q82" i="6"/>
  <c r="P82" i="6"/>
  <c r="H82" i="6"/>
  <c r="T81" i="6"/>
  <c r="S81" i="6"/>
  <c r="R81" i="6"/>
  <c r="Q81" i="6"/>
  <c r="P81" i="6"/>
  <c r="H81" i="6"/>
  <c r="T80" i="6"/>
  <c r="S80" i="6"/>
  <c r="R80" i="6"/>
  <c r="Q80" i="6"/>
  <c r="P80" i="6"/>
  <c r="H80" i="6"/>
  <c r="T79" i="6"/>
  <c r="S79" i="6"/>
  <c r="R79" i="6"/>
  <c r="Q79" i="6"/>
  <c r="P79" i="6"/>
  <c r="H79" i="6"/>
  <c r="T78" i="6"/>
  <c r="S78" i="6"/>
  <c r="R78" i="6"/>
  <c r="Q78" i="6"/>
  <c r="P78" i="6"/>
  <c r="H78" i="6"/>
  <c r="T77" i="6"/>
  <c r="S77" i="6"/>
  <c r="R77" i="6"/>
  <c r="Q77" i="6"/>
  <c r="P77" i="6"/>
  <c r="H77" i="6"/>
  <c r="T76" i="6"/>
  <c r="S76" i="6"/>
  <c r="R76" i="6"/>
  <c r="Q76" i="6"/>
  <c r="P76" i="6"/>
  <c r="H76" i="6"/>
  <c r="T75" i="6"/>
  <c r="S75" i="6"/>
  <c r="R75" i="6"/>
  <c r="Q75" i="6"/>
  <c r="P75" i="6"/>
  <c r="H75" i="6"/>
  <c r="T74" i="6"/>
  <c r="S74" i="6"/>
  <c r="R74" i="6"/>
  <c r="Q74" i="6"/>
  <c r="P74" i="6"/>
  <c r="H74" i="6"/>
  <c r="T73" i="6"/>
  <c r="S73" i="6"/>
  <c r="R73" i="6"/>
  <c r="Q73" i="6"/>
  <c r="P73" i="6"/>
  <c r="H73" i="6"/>
  <c r="T72" i="6"/>
  <c r="S72" i="6"/>
  <c r="R72" i="6"/>
  <c r="Q72" i="6"/>
  <c r="P72" i="6"/>
  <c r="H72" i="6"/>
  <c r="T71" i="6"/>
  <c r="S71" i="6"/>
  <c r="R71" i="6"/>
  <c r="Q71" i="6"/>
  <c r="P71" i="6"/>
  <c r="H71" i="6"/>
  <c r="T70" i="6"/>
  <c r="S70" i="6"/>
  <c r="R70" i="6"/>
  <c r="Q70" i="6"/>
  <c r="P70" i="6"/>
  <c r="H70" i="6"/>
  <c r="T69" i="6"/>
  <c r="S69" i="6"/>
  <c r="R69" i="6"/>
  <c r="Q69" i="6"/>
  <c r="P69" i="6"/>
  <c r="H69" i="6"/>
  <c r="T68" i="6"/>
  <c r="S68" i="6"/>
  <c r="R68" i="6"/>
  <c r="Q68" i="6"/>
  <c r="P68" i="6"/>
  <c r="H68" i="6"/>
  <c r="T67" i="6"/>
  <c r="S67" i="6"/>
  <c r="R67" i="6"/>
  <c r="Q67" i="6"/>
  <c r="P67" i="6"/>
  <c r="H67" i="6"/>
  <c r="T66" i="6"/>
  <c r="S66" i="6"/>
  <c r="R66" i="6"/>
  <c r="Q66" i="6"/>
  <c r="P66" i="6"/>
  <c r="H66" i="6"/>
  <c r="T65" i="6"/>
  <c r="S65" i="6"/>
  <c r="R65" i="6"/>
  <c r="Q65" i="6"/>
  <c r="P65" i="6"/>
  <c r="H65" i="6"/>
  <c r="T64" i="6"/>
  <c r="S64" i="6"/>
  <c r="R64" i="6"/>
  <c r="Q64" i="6"/>
  <c r="P64" i="6"/>
  <c r="H64" i="6"/>
  <c r="T63" i="6"/>
  <c r="S63" i="6"/>
  <c r="R63" i="6"/>
  <c r="Q63" i="6"/>
  <c r="P63" i="6"/>
  <c r="H63" i="6"/>
  <c r="T62" i="6"/>
  <c r="S62" i="6"/>
  <c r="R62" i="6"/>
  <c r="Q62" i="6"/>
  <c r="P62" i="6"/>
  <c r="H62" i="6"/>
  <c r="T61" i="6"/>
  <c r="S61" i="6"/>
  <c r="R61" i="6"/>
  <c r="Q61" i="6"/>
  <c r="P61" i="6"/>
  <c r="H61" i="6"/>
  <c r="T60" i="6"/>
  <c r="S60" i="6"/>
  <c r="R60" i="6"/>
  <c r="Q60" i="6"/>
  <c r="P60" i="6"/>
  <c r="H60" i="6"/>
  <c r="T59" i="6"/>
  <c r="S59" i="6"/>
  <c r="R59" i="6"/>
  <c r="Q59" i="6"/>
  <c r="P59" i="6"/>
  <c r="H59" i="6"/>
  <c r="T58" i="6"/>
  <c r="S58" i="6"/>
  <c r="R58" i="6"/>
  <c r="Q58" i="6"/>
  <c r="P58" i="6"/>
  <c r="H58" i="6"/>
  <c r="T57" i="6"/>
  <c r="S57" i="6"/>
  <c r="R57" i="6"/>
  <c r="Q57" i="6"/>
  <c r="P57" i="6"/>
  <c r="H57" i="6"/>
  <c r="T56" i="6"/>
  <c r="S56" i="6"/>
  <c r="R56" i="6"/>
  <c r="Q56" i="6"/>
  <c r="P56" i="6"/>
  <c r="H56" i="6"/>
  <c r="T55" i="6"/>
  <c r="S55" i="6"/>
  <c r="R55" i="6"/>
  <c r="Q55" i="6"/>
  <c r="P55" i="6"/>
  <c r="H55" i="6"/>
  <c r="T54" i="6"/>
  <c r="S54" i="6"/>
  <c r="R54" i="6"/>
  <c r="Q54" i="6"/>
  <c r="P54" i="6"/>
  <c r="H54" i="6"/>
  <c r="T53" i="6"/>
  <c r="S53" i="6"/>
  <c r="R53" i="6"/>
  <c r="Q53" i="6"/>
  <c r="P53" i="6"/>
  <c r="H53" i="6"/>
  <c r="T52" i="6"/>
  <c r="S52" i="6"/>
  <c r="R52" i="6"/>
  <c r="Q52" i="6"/>
  <c r="P52" i="6"/>
  <c r="H52" i="6"/>
  <c r="T51" i="6"/>
  <c r="S51" i="6"/>
  <c r="R51" i="6"/>
  <c r="Q51" i="6"/>
  <c r="P51" i="6"/>
  <c r="H51" i="6"/>
  <c r="T50" i="6"/>
  <c r="S50" i="6"/>
  <c r="R50" i="6"/>
  <c r="Q50" i="6"/>
  <c r="P50" i="6"/>
  <c r="H50" i="6"/>
  <c r="T49" i="6"/>
  <c r="S49" i="6"/>
  <c r="R49" i="6"/>
  <c r="Q49" i="6"/>
  <c r="P49" i="6"/>
  <c r="H49" i="6"/>
  <c r="T48" i="6"/>
  <c r="S48" i="6"/>
  <c r="R48" i="6"/>
  <c r="Q48" i="6"/>
  <c r="P48" i="6"/>
  <c r="H48" i="6"/>
  <c r="T47" i="6"/>
  <c r="S47" i="6"/>
  <c r="R47" i="6"/>
  <c r="Q47" i="6"/>
  <c r="P47" i="6"/>
  <c r="H47" i="6"/>
  <c r="T46" i="6"/>
  <c r="S46" i="6"/>
  <c r="R46" i="6"/>
  <c r="Q46" i="6"/>
  <c r="P46" i="6"/>
  <c r="H46" i="6"/>
  <c r="T45" i="6"/>
  <c r="S45" i="6"/>
  <c r="R45" i="6"/>
  <c r="Q45" i="6"/>
  <c r="P45" i="6"/>
  <c r="H45" i="6"/>
  <c r="T44" i="6"/>
  <c r="S44" i="6"/>
  <c r="R44" i="6"/>
  <c r="Q44" i="6"/>
  <c r="P44" i="6"/>
  <c r="H44" i="6"/>
  <c r="T43" i="6"/>
  <c r="S43" i="6"/>
  <c r="R43" i="6"/>
  <c r="Q43" i="6"/>
  <c r="P43" i="6"/>
  <c r="H43" i="6"/>
  <c r="T42" i="6"/>
  <c r="S42" i="6"/>
  <c r="R42" i="6"/>
  <c r="Q42" i="6"/>
  <c r="P42" i="6"/>
  <c r="H42" i="6"/>
  <c r="T41" i="6"/>
  <c r="S41" i="6"/>
  <c r="R41" i="6"/>
  <c r="Q41" i="6"/>
  <c r="P41" i="6"/>
  <c r="H41" i="6"/>
  <c r="T40" i="6"/>
  <c r="S40" i="6"/>
  <c r="R40" i="6"/>
  <c r="Q40" i="6"/>
  <c r="P40" i="6"/>
  <c r="H40" i="6"/>
  <c r="T39" i="6"/>
  <c r="S39" i="6"/>
  <c r="R39" i="6"/>
  <c r="Q39" i="6"/>
  <c r="P39" i="6"/>
  <c r="H39" i="6"/>
  <c r="T38" i="6"/>
  <c r="S38" i="6"/>
  <c r="R38" i="6"/>
  <c r="Q38" i="6"/>
  <c r="P38" i="6"/>
  <c r="H38" i="6"/>
  <c r="T37" i="6"/>
  <c r="S37" i="6"/>
  <c r="R37" i="6"/>
  <c r="Q37" i="6"/>
  <c r="P37" i="6"/>
  <c r="H37" i="6"/>
  <c r="T36" i="6"/>
  <c r="S36" i="6"/>
  <c r="R36" i="6"/>
  <c r="Q36" i="6"/>
  <c r="P36" i="6"/>
  <c r="H36" i="6"/>
  <c r="T35" i="6"/>
  <c r="S35" i="6"/>
  <c r="R35" i="6"/>
  <c r="Q35" i="6"/>
  <c r="P35" i="6"/>
  <c r="H35" i="6"/>
  <c r="T34" i="6"/>
  <c r="S34" i="6"/>
  <c r="R34" i="6"/>
  <c r="Q34" i="6"/>
  <c r="P34" i="6"/>
  <c r="H34" i="6"/>
  <c r="T33" i="6"/>
  <c r="S33" i="6"/>
  <c r="R33" i="6"/>
  <c r="Q33" i="6"/>
  <c r="P33" i="6"/>
  <c r="H33" i="6"/>
  <c r="T32" i="6"/>
  <c r="S32" i="6"/>
  <c r="R32" i="6"/>
  <c r="Q32" i="6"/>
  <c r="P32" i="6"/>
  <c r="H32" i="6"/>
  <c r="T31" i="6"/>
  <c r="S31" i="6"/>
  <c r="R31" i="6"/>
  <c r="Q31" i="6"/>
  <c r="P31" i="6"/>
  <c r="H31" i="6"/>
  <c r="T30" i="6"/>
  <c r="S30" i="6"/>
  <c r="R30" i="6"/>
  <c r="Q30" i="6"/>
  <c r="P30" i="6"/>
  <c r="H30" i="6"/>
  <c r="T29" i="6"/>
  <c r="S29" i="6"/>
  <c r="R29" i="6"/>
  <c r="Q29" i="6"/>
  <c r="P29" i="6"/>
  <c r="H29" i="6"/>
  <c r="T28" i="6"/>
  <c r="S28" i="6"/>
  <c r="R28" i="6"/>
  <c r="Q28" i="6"/>
  <c r="P28" i="6"/>
  <c r="H28" i="6"/>
  <c r="T27" i="6"/>
  <c r="S27" i="6"/>
  <c r="R27" i="6"/>
  <c r="Q27" i="6"/>
  <c r="P27" i="6"/>
  <c r="H27" i="6"/>
  <c r="T26" i="6"/>
  <c r="S26" i="6"/>
  <c r="R26" i="6"/>
  <c r="Q26" i="6"/>
  <c r="P26" i="6"/>
  <c r="H26" i="6"/>
  <c r="T25" i="6"/>
  <c r="S25" i="6"/>
  <c r="R25" i="6"/>
  <c r="Q25" i="6"/>
  <c r="P25" i="6"/>
  <c r="H25" i="6"/>
  <c r="T24" i="6"/>
  <c r="S24" i="6"/>
  <c r="R24" i="6"/>
  <c r="Q24" i="6"/>
  <c r="P24" i="6"/>
  <c r="H24" i="6"/>
  <c r="T23" i="6"/>
  <c r="S23" i="6"/>
  <c r="R23" i="6"/>
  <c r="Q23" i="6"/>
  <c r="P23" i="6"/>
  <c r="H23" i="6"/>
  <c r="T22" i="6"/>
  <c r="S22" i="6"/>
  <c r="R22" i="6"/>
  <c r="Q22" i="6"/>
  <c r="P22" i="6"/>
  <c r="H22" i="6"/>
  <c r="T21" i="6"/>
  <c r="S21" i="6"/>
  <c r="R21" i="6"/>
  <c r="Q21" i="6"/>
  <c r="P21" i="6"/>
  <c r="H21" i="6"/>
  <c r="T20" i="6"/>
  <c r="S20" i="6"/>
  <c r="R20" i="6"/>
  <c r="Q20" i="6"/>
  <c r="P20" i="6"/>
  <c r="H20" i="6"/>
  <c r="T19" i="6"/>
  <c r="S19" i="6"/>
  <c r="R19" i="6"/>
  <c r="Q19" i="6"/>
  <c r="P19" i="6"/>
  <c r="H19" i="6"/>
  <c r="T18" i="6"/>
  <c r="S18" i="6"/>
  <c r="R18" i="6"/>
  <c r="Q18" i="6"/>
  <c r="P18" i="6"/>
  <c r="H18" i="6"/>
  <c r="T17" i="6"/>
  <c r="S17" i="6"/>
  <c r="R17" i="6"/>
  <c r="Q17" i="6"/>
  <c r="P17" i="6"/>
  <c r="H17" i="6"/>
  <c r="T16" i="6"/>
  <c r="S16" i="6"/>
  <c r="R16" i="6"/>
  <c r="Q16" i="6"/>
  <c r="P16" i="6"/>
  <c r="H16" i="6"/>
  <c r="T15" i="6"/>
  <c r="S15" i="6"/>
  <c r="R15" i="6"/>
  <c r="Q15" i="6"/>
  <c r="P15" i="6"/>
  <c r="H15" i="6"/>
  <c r="T14" i="6"/>
  <c r="S14" i="6"/>
  <c r="R14" i="6"/>
  <c r="Q14" i="6"/>
  <c r="P14" i="6"/>
  <c r="H14" i="6"/>
  <c r="T13" i="6"/>
  <c r="S13" i="6"/>
  <c r="R13" i="6"/>
  <c r="Q13" i="6"/>
  <c r="P13" i="6"/>
  <c r="H13" i="6"/>
  <c r="T12" i="6"/>
  <c r="S12" i="6"/>
  <c r="R12" i="6"/>
  <c r="Q12" i="6"/>
  <c r="P12" i="6"/>
  <c r="H12" i="6"/>
  <c r="T11" i="6"/>
  <c r="S11" i="6"/>
  <c r="R11" i="6"/>
  <c r="Q11" i="6"/>
  <c r="P11" i="6"/>
  <c r="H11" i="6"/>
  <c r="T10" i="6"/>
  <c r="S10" i="6"/>
  <c r="R10" i="6"/>
  <c r="Q10" i="6"/>
  <c r="P10" i="6"/>
  <c r="H10" i="6"/>
  <c r="T9" i="6"/>
  <c r="S9" i="6"/>
  <c r="R9" i="6"/>
  <c r="Q9" i="6"/>
  <c r="P9" i="6"/>
  <c r="H9" i="6"/>
  <c r="T8" i="6"/>
  <c r="S8" i="6"/>
  <c r="R8" i="6"/>
  <c r="Q8" i="6"/>
  <c r="P8" i="6"/>
  <c r="H8" i="6"/>
  <c r="T7" i="6"/>
  <c r="S7" i="6"/>
  <c r="R7" i="6"/>
  <c r="Q7" i="6"/>
  <c r="P7" i="6"/>
  <c r="H7" i="6"/>
  <c r="T6" i="6"/>
  <c r="S6" i="6"/>
  <c r="R6" i="6"/>
  <c r="Q6" i="6"/>
  <c r="P6" i="6"/>
  <c r="H6" i="6"/>
  <c r="T5" i="6"/>
  <c r="S5" i="6"/>
  <c r="R5" i="6"/>
  <c r="Q5" i="6"/>
  <c r="P5" i="6"/>
  <c r="H5" i="6"/>
  <c r="T4" i="6"/>
  <c r="S4" i="6"/>
  <c r="R4" i="6"/>
  <c r="Q4" i="6"/>
  <c r="P4" i="6"/>
  <c r="H4" i="6"/>
  <c r="T3" i="6"/>
  <c r="S3" i="6"/>
  <c r="R3" i="6"/>
  <c r="Q3" i="6"/>
  <c r="P3" i="6"/>
  <c r="H3" i="6"/>
  <c r="T2" i="6"/>
  <c r="S2" i="6"/>
  <c r="R2" i="6"/>
  <c r="Q2" i="6"/>
  <c r="P2" i="6"/>
  <c r="H2" i="6"/>
  <c r="R3" i="4"/>
  <c r="S3" i="4"/>
  <c r="T3" i="4"/>
  <c r="R4" i="4"/>
  <c r="S4" i="4"/>
  <c r="T4" i="4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R66" i="4"/>
  <c r="S66" i="4"/>
  <c r="T66" i="4"/>
  <c r="R67" i="4"/>
  <c r="S67" i="4"/>
  <c r="T67" i="4"/>
  <c r="R68" i="4"/>
  <c r="S68" i="4"/>
  <c r="T68" i="4"/>
  <c r="R69" i="4"/>
  <c r="S69" i="4"/>
  <c r="T69" i="4"/>
  <c r="R70" i="4"/>
  <c r="S70" i="4"/>
  <c r="T70" i="4"/>
  <c r="R71" i="4"/>
  <c r="S71" i="4"/>
  <c r="T71" i="4"/>
  <c r="R72" i="4"/>
  <c r="S72" i="4"/>
  <c r="T72" i="4"/>
  <c r="R73" i="4"/>
  <c r="S73" i="4"/>
  <c r="T73" i="4"/>
  <c r="R74" i="4"/>
  <c r="S74" i="4"/>
  <c r="T74" i="4"/>
  <c r="R75" i="4"/>
  <c r="S75" i="4"/>
  <c r="T75" i="4"/>
  <c r="R76" i="4"/>
  <c r="S76" i="4"/>
  <c r="T76" i="4"/>
  <c r="R77" i="4"/>
  <c r="S77" i="4"/>
  <c r="T77" i="4"/>
  <c r="R78" i="4"/>
  <c r="S78" i="4"/>
  <c r="T78" i="4"/>
  <c r="R79" i="4"/>
  <c r="S79" i="4"/>
  <c r="T79" i="4"/>
  <c r="R80" i="4"/>
  <c r="S80" i="4"/>
  <c r="T80" i="4"/>
  <c r="R81" i="4"/>
  <c r="S81" i="4"/>
  <c r="T81" i="4"/>
  <c r="R82" i="4"/>
  <c r="S82" i="4"/>
  <c r="T82" i="4"/>
  <c r="R83" i="4"/>
  <c r="S83" i="4"/>
  <c r="T83" i="4"/>
  <c r="R84" i="4"/>
  <c r="S84" i="4"/>
  <c r="T84" i="4"/>
  <c r="R85" i="4"/>
  <c r="S85" i="4"/>
  <c r="T85" i="4"/>
  <c r="R86" i="4"/>
  <c r="S86" i="4"/>
  <c r="T86" i="4"/>
  <c r="R87" i="4"/>
  <c r="S87" i="4"/>
  <c r="T87" i="4"/>
  <c r="R88" i="4"/>
  <c r="S88" i="4"/>
  <c r="T88" i="4"/>
  <c r="R89" i="4"/>
  <c r="S89" i="4"/>
  <c r="T89" i="4"/>
  <c r="R90" i="4"/>
  <c r="S90" i="4"/>
  <c r="T90" i="4"/>
  <c r="R91" i="4"/>
  <c r="S91" i="4"/>
  <c r="T91" i="4"/>
  <c r="R92" i="4"/>
  <c r="S92" i="4"/>
  <c r="T92" i="4"/>
  <c r="R93" i="4"/>
  <c r="S93" i="4"/>
  <c r="T93" i="4"/>
  <c r="R94" i="4"/>
  <c r="S94" i="4"/>
  <c r="T94" i="4"/>
  <c r="R95" i="4"/>
  <c r="S95" i="4"/>
  <c r="T95" i="4"/>
  <c r="R96" i="4"/>
  <c r="S96" i="4"/>
  <c r="T96" i="4"/>
  <c r="R97" i="4"/>
  <c r="S97" i="4"/>
  <c r="T97" i="4"/>
  <c r="R98" i="4"/>
  <c r="S98" i="4"/>
  <c r="T98" i="4"/>
  <c r="R99" i="4"/>
  <c r="S99" i="4"/>
  <c r="T99" i="4"/>
  <c r="R100" i="4"/>
  <c r="S100" i="4"/>
  <c r="T100" i="4"/>
  <c r="R101" i="4"/>
  <c r="S101" i="4"/>
  <c r="T101" i="4"/>
  <c r="R102" i="4"/>
  <c r="S102" i="4"/>
  <c r="T102" i="4"/>
  <c r="R103" i="4"/>
  <c r="S103" i="4"/>
  <c r="T103" i="4"/>
  <c r="R104" i="4"/>
  <c r="S104" i="4"/>
  <c r="T104" i="4"/>
  <c r="R105" i="4"/>
  <c r="S105" i="4"/>
  <c r="T105" i="4"/>
  <c r="R106" i="4"/>
  <c r="S106" i="4"/>
  <c r="T106" i="4"/>
  <c r="R107" i="4"/>
  <c r="S107" i="4"/>
  <c r="T107" i="4"/>
  <c r="R108" i="4"/>
  <c r="S108" i="4"/>
  <c r="T108" i="4"/>
  <c r="R109" i="4"/>
  <c r="S109" i="4"/>
  <c r="T109" i="4"/>
  <c r="R110" i="4"/>
  <c r="S110" i="4"/>
  <c r="T110" i="4"/>
  <c r="R111" i="4"/>
  <c r="S111" i="4"/>
  <c r="T111" i="4"/>
  <c r="R112" i="4"/>
  <c r="S112" i="4"/>
  <c r="T112" i="4"/>
  <c r="R113" i="4"/>
  <c r="S113" i="4"/>
  <c r="T113" i="4"/>
  <c r="R114" i="4"/>
  <c r="S114" i="4"/>
  <c r="T114" i="4"/>
  <c r="R115" i="4"/>
  <c r="S115" i="4"/>
  <c r="T115" i="4"/>
  <c r="R116" i="4"/>
  <c r="S116" i="4"/>
  <c r="T116" i="4"/>
  <c r="R117" i="4"/>
  <c r="S117" i="4"/>
  <c r="T117" i="4"/>
  <c r="R118" i="4"/>
  <c r="S118" i="4"/>
  <c r="T118" i="4"/>
  <c r="R119" i="4"/>
  <c r="S119" i="4"/>
  <c r="T119" i="4"/>
  <c r="R120" i="4"/>
  <c r="S120" i="4"/>
  <c r="T120" i="4"/>
  <c r="R121" i="4"/>
  <c r="S121" i="4"/>
  <c r="T121" i="4"/>
  <c r="R122" i="4"/>
  <c r="S122" i="4"/>
  <c r="T122" i="4"/>
  <c r="R123" i="4"/>
  <c r="S123" i="4"/>
  <c r="T123" i="4"/>
  <c r="R124" i="4"/>
  <c r="S124" i="4"/>
  <c r="T124" i="4"/>
  <c r="R125" i="4"/>
  <c r="S125" i="4"/>
  <c r="T125" i="4"/>
  <c r="R126" i="4"/>
  <c r="S126" i="4"/>
  <c r="T126" i="4"/>
  <c r="R127" i="4"/>
  <c r="S127" i="4"/>
  <c r="T127" i="4"/>
  <c r="R128" i="4"/>
  <c r="S128" i="4"/>
  <c r="T128" i="4"/>
  <c r="R129" i="4"/>
  <c r="S129" i="4"/>
  <c r="T129" i="4"/>
  <c r="R130" i="4"/>
  <c r="S130" i="4"/>
  <c r="T130" i="4"/>
  <c r="R131" i="4"/>
  <c r="S131" i="4"/>
  <c r="T131" i="4"/>
  <c r="R132" i="4"/>
  <c r="S132" i="4"/>
  <c r="T132" i="4"/>
  <c r="R133" i="4"/>
  <c r="S133" i="4"/>
  <c r="T133" i="4"/>
  <c r="R134" i="4"/>
  <c r="S134" i="4"/>
  <c r="T134" i="4"/>
  <c r="R135" i="4"/>
  <c r="S135" i="4"/>
  <c r="T135" i="4"/>
  <c r="R136" i="4"/>
  <c r="S136" i="4"/>
  <c r="T136" i="4"/>
  <c r="R137" i="4"/>
  <c r="S137" i="4"/>
  <c r="T137" i="4"/>
  <c r="R138" i="4"/>
  <c r="S138" i="4"/>
  <c r="T138" i="4"/>
  <c r="R139" i="4"/>
  <c r="S139" i="4"/>
  <c r="T139" i="4"/>
  <c r="R140" i="4"/>
  <c r="S140" i="4"/>
  <c r="T140" i="4"/>
  <c r="R141" i="4"/>
  <c r="S141" i="4"/>
  <c r="T141" i="4"/>
  <c r="R142" i="4"/>
  <c r="S142" i="4"/>
  <c r="T142" i="4"/>
  <c r="R143" i="4"/>
  <c r="S143" i="4"/>
  <c r="T143" i="4"/>
  <c r="R144" i="4"/>
  <c r="S144" i="4"/>
  <c r="T144" i="4"/>
  <c r="R145" i="4"/>
  <c r="S145" i="4"/>
  <c r="T145" i="4"/>
  <c r="R146" i="4"/>
  <c r="S146" i="4"/>
  <c r="T146" i="4"/>
  <c r="R147" i="4"/>
  <c r="S147" i="4"/>
  <c r="T147" i="4"/>
  <c r="R148" i="4"/>
  <c r="S148" i="4"/>
  <c r="T148" i="4"/>
  <c r="R149" i="4"/>
  <c r="S149" i="4"/>
  <c r="T149" i="4"/>
  <c r="R150" i="4"/>
  <c r="S150" i="4"/>
  <c r="T150" i="4"/>
  <c r="R151" i="4"/>
  <c r="S151" i="4"/>
  <c r="T151" i="4"/>
  <c r="R152" i="4"/>
  <c r="S152" i="4"/>
  <c r="T152" i="4"/>
  <c r="R153" i="4"/>
  <c r="S153" i="4"/>
  <c r="T153" i="4"/>
  <c r="R154" i="4"/>
  <c r="S154" i="4"/>
  <c r="T154" i="4"/>
  <c r="R155" i="4"/>
  <c r="S155" i="4"/>
  <c r="T155" i="4"/>
  <c r="R156" i="4"/>
  <c r="S156" i="4"/>
  <c r="T156" i="4"/>
  <c r="R157" i="4"/>
  <c r="S157" i="4"/>
  <c r="T157" i="4"/>
  <c r="R158" i="4"/>
  <c r="S158" i="4"/>
  <c r="T158" i="4"/>
  <c r="R159" i="4"/>
  <c r="S159" i="4"/>
  <c r="T159" i="4"/>
  <c r="R160" i="4"/>
  <c r="S160" i="4"/>
  <c r="T160" i="4"/>
  <c r="R161" i="4"/>
  <c r="S161" i="4"/>
  <c r="T161" i="4"/>
  <c r="R162" i="4"/>
  <c r="S162" i="4"/>
  <c r="T162" i="4"/>
  <c r="R163" i="4"/>
  <c r="S163" i="4"/>
  <c r="T163" i="4"/>
  <c r="R164" i="4"/>
  <c r="S164" i="4"/>
  <c r="T164" i="4"/>
  <c r="R165" i="4"/>
  <c r="S165" i="4"/>
  <c r="T165" i="4"/>
  <c r="R166" i="4"/>
  <c r="S166" i="4"/>
  <c r="T166" i="4"/>
  <c r="R167" i="4"/>
  <c r="S167" i="4"/>
  <c r="T167" i="4"/>
  <c r="R168" i="4"/>
  <c r="S168" i="4"/>
  <c r="T168" i="4"/>
  <c r="R169" i="4"/>
  <c r="S169" i="4"/>
  <c r="T169" i="4"/>
  <c r="R170" i="4"/>
  <c r="S170" i="4"/>
  <c r="T170" i="4"/>
  <c r="R171" i="4"/>
  <c r="S171" i="4"/>
  <c r="T171" i="4"/>
  <c r="R172" i="4"/>
  <c r="S172" i="4"/>
  <c r="T172" i="4"/>
  <c r="R173" i="4"/>
  <c r="S173" i="4"/>
  <c r="T173" i="4"/>
  <c r="R174" i="4"/>
  <c r="S174" i="4"/>
  <c r="T174" i="4"/>
  <c r="R175" i="4"/>
  <c r="S175" i="4"/>
  <c r="T175" i="4"/>
  <c r="R176" i="4"/>
  <c r="S176" i="4"/>
  <c r="T176" i="4"/>
  <c r="R177" i="4"/>
  <c r="S177" i="4"/>
  <c r="T177" i="4"/>
  <c r="R178" i="4"/>
  <c r="S178" i="4"/>
  <c r="T178" i="4"/>
  <c r="R179" i="4"/>
  <c r="S179" i="4"/>
  <c r="T179" i="4"/>
  <c r="R180" i="4"/>
  <c r="S180" i="4"/>
  <c r="T180" i="4"/>
  <c r="R181" i="4"/>
  <c r="S181" i="4"/>
  <c r="T181" i="4"/>
  <c r="R182" i="4"/>
  <c r="S182" i="4"/>
  <c r="T182" i="4"/>
  <c r="R183" i="4"/>
  <c r="S183" i="4"/>
  <c r="T183" i="4"/>
  <c r="R184" i="4"/>
  <c r="S184" i="4"/>
  <c r="T184" i="4"/>
  <c r="R185" i="4"/>
  <c r="S185" i="4"/>
  <c r="T185" i="4"/>
  <c r="R186" i="4"/>
  <c r="S186" i="4"/>
  <c r="T186" i="4"/>
  <c r="R187" i="4"/>
  <c r="S187" i="4"/>
  <c r="T187" i="4"/>
  <c r="R188" i="4"/>
  <c r="S188" i="4"/>
  <c r="T188" i="4"/>
  <c r="R189" i="4"/>
  <c r="S189" i="4"/>
  <c r="T189" i="4"/>
  <c r="R190" i="4"/>
  <c r="S190" i="4"/>
  <c r="T190" i="4"/>
  <c r="R191" i="4"/>
  <c r="S191" i="4"/>
  <c r="T191" i="4"/>
  <c r="R192" i="4"/>
  <c r="S192" i="4"/>
  <c r="T192" i="4"/>
  <c r="R193" i="4"/>
  <c r="S193" i="4"/>
  <c r="T193" i="4"/>
  <c r="R194" i="4"/>
  <c r="S194" i="4"/>
  <c r="T194" i="4"/>
  <c r="R195" i="4"/>
  <c r="S195" i="4"/>
  <c r="T195" i="4"/>
  <c r="R196" i="4"/>
  <c r="S196" i="4"/>
  <c r="T196" i="4"/>
  <c r="R197" i="4"/>
  <c r="S197" i="4"/>
  <c r="T197" i="4"/>
  <c r="R198" i="4"/>
  <c r="S198" i="4"/>
  <c r="T198" i="4"/>
  <c r="R199" i="4"/>
  <c r="S199" i="4"/>
  <c r="T199" i="4"/>
  <c r="R200" i="4"/>
  <c r="S200" i="4"/>
  <c r="T200" i="4"/>
  <c r="R201" i="4"/>
  <c r="S201" i="4"/>
  <c r="T201" i="4"/>
  <c r="R202" i="4"/>
  <c r="S202" i="4"/>
  <c r="T202" i="4"/>
  <c r="R203" i="4"/>
  <c r="S203" i="4"/>
  <c r="T203" i="4"/>
  <c r="R204" i="4"/>
  <c r="S204" i="4"/>
  <c r="T204" i="4"/>
  <c r="R205" i="4"/>
  <c r="S205" i="4"/>
  <c r="T205" i="4"/>
  <c r="R206" i="4"/>
  <c r="S206" i="4"/>
  <c r="T206" i="4"/>
  <c r="R207" i="4"/>
  <c r="S207" i="4"/>
  <c r="T207" i="4"/>
  <c r="R208" i="4"/>
  <c r="S208" i="4"/>
  <c r="T208" i="4"/>
  <c r="R209" i="4"/>
  <c r="S209" i="4"/>
  <c r="T209" i="4"/>
  <c r="R210" i="4"/>
  <c r="S210" i="4"/>
  <c r="T210" i="4"/>
  <c r="R211" i="4"/>
  <c r="S211" i="4"/>
  <c r="T211" i="4"/>
  <c r="R212" i="4"/>
  <c r="S212" i="4"/>
  <c r="T212" i="4"/>
  <c r="R213" i="4"/>
  <c r="S213" i="4"/>
  <c r="T213" i="4"/>
  <c r="R214" i="4"/>
  <c r="S214" i="4"/>
  <c r="T214" i="4"/>
  <c r="R215" i="4"/>
  <c r="S215" i="4"/>
  <c r="T215" i="4"/>
  <c r="R216" i="4"/>
  <c r="S216" i="4"/>
  <c r="T216" i="4"/>
  <c r="R217" i="4"/>
  <c r="S217" i="4"/>
  <c r="T217" i="4"/>
  <c r="R218" i="4"/>
  <c r="S218" i="4"/>
  <c r="T218" i="4"/>
  <c r="R219" i="4"/>
  <c r="S219" i="4"/>
  <c r="T219" i="4"/>
  <c r="R220" i="4"/>
  <c r="S220" i="4"/>
  <c r="T220" i="4"/>
  <c r="R221" i="4"/>
  <c r="S221" i="4"/>
  <c r="T221" i="4"/>
  <c r="R222" i="4"/>
  <c r="S222" i="4"/>
  <c r="T222" i="4"/>
  <c r="R223" i="4"/>
  <c r="S223" i="4"/>
  <c r="T223" i="4"/>
  <c r="R224" i="4"/>
  <c r="S224" i="4"/>
  <c r="T224" i="4"/>
  <c r="R225" i="4"/>
  <c r="S225" i="4"/>
  <c r="T225" i="4"/>
  <c r="R226" i="4"/>
  <c r="S226" i="4"/>
  <c r="T226" i="4"/>
  <c r="R227" i="4"/>
  <c r="S227" i="4"/>
  <c r="T227" i="4"/>
  <c r="R228" i="4"/>
  <c r="S228" i="4"/>
  <c r="T228" i="4"/>
  <c r="R229" i="4"/>
  <c r="S229" i="4"/>
  <c r="T229" i="4"/>
  <c r="R230" i="4"/>
  <c r="S230" i="4"/>
  <c r="T230" i="4"/>
  <c r="R231" i="4"/>
  <c r="S231" i="4"/>
  <c r="T231" i="4"/>
  <c r="R232" i="4"/>
  <c r="S232" i="4"/>
  <c r="T232" i="4"/>
  <c r="R233" i="4"/>
  <c r="S233" i="4"/>
  <c r="T233" i="4"/>
  <c r="R234" i="4"/>
  <c r="S234" i="4"/>
  <c r="T234" i="4"/>
  <c r="R235" i="4"/>
  <c r="S235" i="4"/>
  <c r="T235" i="4"/>
  <c r="R236" i="4"/>
  <c r="S236" i="4"/>
  <c r="T236" i="4"/>
  <c r="R237" i="4"/>
  <c r="S237" i="4"/>
  <c r="T237" i="4"/>
  <c r="R238" i="4"/>
  <c r="S238" i="4"/>
  <c r="T238" i="4"/>
  <c r="R239" i="4"/>
  <c r="S239" i="4"/>
  <c r="T239" i="4"/>
  <c r="R240" i="4"/>
  <c r="S240" i="4"/>
  <c r="T240" i="4"/>
  <c r="R241" i="4"/>
  <c r="S241" i="4"/>
  <c r="T241" i="4"/>
  <c r="R242" i="4"/>
  <c r="S242" i="4"/>
  <c r="T242" i="4"/>
  <c r="R243" i="4"/>
  <c r="S243" i="4"/>
  <c r="T243" i="4"/>
  <c r="R244" i="4"/>
  <c r="S244" i="4"/>
  <c r="T244" i="4"/>
  <c r="R245" i="4"/>
  <c r="S245" i="4"/>
  <c r="T245" i="4"/>
  <c r="R246" i="4"/>
  <c r="S246" i="4"/>
  <c r="T246" i="4"/>
  <c r="R247" i="4"/>
  <c r="S247" i="4"/>
  <c r="T247" i="4"/>
  <c r="R248" i="4"/>
  <c r="S248" i="4"/>
  <c r="T248" i="4"/>
  <c r="R249" i="4"/>
  <c r="S249" i="4"/>
  <c r="T249" i="4"/>
  <c r="R250" i="4"/>
  <c r="S250" i="4"/>
  <c r="T250" i="4"/>
  <c r="R251" i="4"/>
  <c r="S251" i="4"/>
  <c r="T251" i="4"/>
  <c r="R252" i="4"/>
  <c r="S252" i="4"/>
  <c r="T252" i="4"/>
  <c r="R253" i="4"/>
  <c r="S253" i="4"/>
  <c r="T253" i="4"/>
  <c r="R254" i="4"/>
  <c r="S254" i="4"/>
  <c r="T254" i="4"/>
  <c r="R255" i="4"/>
  <c r="S255" i="4"/>
  <c r="T255" i="4"/>
  <c r="R256" i="4"/>
  <c r="S256" i="4"/>
  <c r="T256" i="4"/>
  <c r="R257" i="4"/>
  <c r="S257" i="4"/>
  <c r="T257" i="4"/>
  <c r="R258" i="4"/>
  <c r="S258" i="4"/>
  <c r="T258" i="4"/>
  <c r="R259" i="4"/>
  <c r="S259" i="4"/>
  <c r="T259" i="4"/>
  <c r="R260" i="4"/>
  <c r="S260" i="4"/>
  <c r="T260" i="4"/>
  <c r="R261" i="4"/>
  <c r="S261" i="4"/>
  <c r="T261" i="4"/>
  <c r="R262" i="4"/>
  <c r="S262" i="4"/>
  <c r="T262" i="4"/>
  <c r="R263" i="4"/>
  <c r="S263" i="4"/>
  <c r="T263" i="4"/>
  <c r="R264" i="4"/>
  <c r="S264" i="4"/>
  <c r="T264" i="4"/>
  <c r="R265" i="4"/>
  <c r="S265" i="4"/>
  <c r="T265" i="4"/>
  <c r="R266" i="4"/>
  <c r="S266" i="4"/>
  <c r="T266" i="4"/>
  <c r="R267" i="4"/>
  <c r="S267" i="4"/>
  <c r="T267" i="4"/>
  <c r="R268" i="4"/>
  <c r="S268" i="4"/>
  <c r="T268" i="4"/>
  <c r="R269" i="4"/>
  <c r="S269" i="4"/>
  <c r="T269" i="4"/>
  <c r="R270" i="4"/>
  <c r="S270" i="4"/>
  <c r="T270" i="4"/>
  <c r="R271" i="4"/>
  <c r="S271" i="4"/>
  <c r="T271" i="4"/>
  <c r="R272" i="4"/>
  <c r="S272" i="4"/>
  <c r="T272" i="4"/>
  <c r="R273" i="4"/>
  <c r="S273" i="4"/>
  <c r="T273" i="4"/>
  <c r="R274" i="4"/>
  <c r="S274" i="4"/>
  <c r="T274" i="4"/>
  <c r="R275" i="4"/>
  <c r="S275" i="4"/>
  <c r="T275" i="4"/>
  <c r="R276" i="4"/>
  <c r="S276" i="4"/>
  <c r="T276" i="4"/>
  <c r="R277" i="4"/>
  <c r="S277" i="4"/>
  <c r="T277" i="4"/>
  <c r="R278" i="4"/>
  <c r="S278" i="4"/>
  <c r="T278" i="4"/>
  <c r="R279" i="4"/>
  <c r="S279" i="4"/>
  <c r="T279" i="4"/>
  <c r="R280" i="4"/>
  <c r="S280" i="4"/>
  <c r="T280" i="4"/>
  <c r="R281" i="4"/>
  <c r="S281" i="4"/>
  <c r="T281" i="4"/>
  <c r="R282" i="4"/>
  <c r="S282" i="4"/>
  <c r="T282" i="4"/>
  <c r="R283" i="4"/>
  <c r="S283" i="4"/>
  <c r="T283" i="4"/>
  <c r="R284" i="4"/>
  <c r="S284" i="4"/>
  <c r="T284" i="4"/>
  <c r="R285" i="4"/>
  <c r="S285" i="4"/>
  <c r="T285" i="4"/>
  <c r="R286" i="4"/>
  <c r="S286" i="4"/>
  <c r="T286" i="4"/>
  <c r="R287" i="4"/>
  <c r="S287" i="4"/>
  <c r="T287" i="4"/>
  <c r="R288" i="4"/>
  <c r="S288" i="4"/>
  <c r="T288" i="4"/>
  <c r="R289" i="4"/>
  <c r="S289" i="4"/>
  <c r="T289" i="4"/>
  <c r="R290" i="4"/>
  <c r="S290" i="4"/>
  <c r="T290" i="4"/>
  <c r="R291" i="4"/>
  <c r="S291" i="4"/>
  <c r="T291" i="4"/>
  <c r="R292" i="4"/>
  <c r="S292" i="4"/>
  <c r="T292" i="4"/>
  <c r="R293" i="4"/>
  <c r="S293" i="4"/>
  <c r="T293" i="4"/>
  <c r="R294" i="4"/>
  <c r="S294" i="4"/>
  <c r="T294" i="4"/>
  <c r="R295" i="4"/>
  <c r="S295" i="4"/>
  <c r="T295" i="4"/>
  <c r="R296" i="4"/>
  <c r="S296" i="4"/>
  <c r="T296" i="4"/>
  <c r="R297" i="4"/>
  <c r="S297" i="4"/>
  <c r="T297" i="4"/>
  <c r="R298" i="4"/>
  <c r="S298" i="4"/>
  <c r="T298" i="4"/>
  <c r="R299" i="4"/>
  <c r="S299" i="4"/>
  <c r="T299" i="4"/>
  <c r="R300" i="4"/>
  <c r="S300" i="4"/>
  <c r="T300" i="4"/>
  <c r="R301" i="4"/>
  <c r="S301" i="4"/>
  <c r="T301" i="4"/>
  <c r="R302" i="4"/>
  <c r="S302" i="4"/>
  <c r="T302" i="4"/>
  <c r="R303" i="4"/>
  <c r="S303" i="4"/>
  <c r="T303" i="4"/>
  <c r="R304" i="4"/>
  <c r="S304" i="4"/>
  <c r="T304" i="4"/>
  <c r="R305" i="4"/>
  <c r="S305" i="4"/>
  <c r="T305" i="4"/>
  <c r="R306" i="4"/>
  <c r="S306" i="4"/>
  <c r="T306" i="4"/>
  <c r="R307" i="4"/>
  <c r="S307" i="4"/>
  <c r="T307" i="4"/>
  <c r="R308" i="4"/>
  <c r="S308" i="4"/>
  <c r="T308" i="4"/>
  <c r="R309" i="4"/>
  <c r="S309" i="4"/>
  <c r="T309" i="4"/>
  <c r="R310" i="4"/>
  <c r="S310" i="4"/>
  <c r="T310" i="4"/>
  <c r="R311" i="4"/>
  <c r="S311" i="4"/>
  <c r="T311" i="4"/>
  <c r="R312" i="4"/>
  <c r="S312" i="4"/>
  <c r="T312" i="4"/>
  <c r="R313" i="4"/>
  <c r="S313" i="4"/>
  <c r="T313" i="4"/>
  <c r="R314" i="4"/>
  <c r="S314" i="4"/>
  <c r="T314" i="4"/>
  <c r="R315" i="4"/>
  <c r="S315" i="4"/>
  <c r="T315" i="4"/>
  <c r="R316" i="4"/>
  <c r="S316" i="4"/>
  <c r="T316" i="4"/>
  <c r="R317" i="4"/>
  <c r="S317" i="4"/>
  <c r="T317" i="4"/>
  <c r="R318" i="4"/>
  <c r="S318" i="4"/>
  <c r="T318" i="4"/>
  <c r="R319" i="4"/>
  <c r="S319" i="4"/>
  <c r="T319" i="4"/>
  <c r="R320" i="4"/>
  <c r="S320" i="4"/>
  <c r="T320" i="4"/>
  <c r="R321" i="4"/>
  <c r="S321" i="4"/>
  <c r="T321" i="4"/>
  <c r="T2" i="4"/>
  <c r="S2" i="4"/>
  <c r="R2" i="4"/>
  <c r="O3" i="4"/>
  <c r="P3" i="4"/>
  <c r="Q3" i="4"/>
  <c r="O4" i="4"/>
  <c r="P4" i="4"/>
  <c r="Q4" i="4"/>
  <c r="O5" i="4"/>
  <c r="P5" i="4"/>
  <c r="Q5" i="4"/>
  <c r="O6" i="4"/>
  <c r="P6" i="4"/>
  <c r="Q6" i="4"/>
  <c r="O7" i="4"/>
  <c r="P7" i="4"/>
  <c r="Q7" i="4"/>
  <c r="O8" i="4"/>
  <c r="P8" i="4"/>
  <c r="Q8" i="4"/>
  <c r="O9" i="4"/>
  <c r="P9" i="4"/>
  <c r="Q9" i="4"/>
  <c r="O10" i="4"/>
  <c r="P10" i="4"/>
  <c r="Q10" i="4"/>
  <c r="O11" i="4"/>
  <c r="P11" i="4"/>
  <c r="Q11" i="4"/>
  <c r="O12" i="4"/>
  <c r="P12" i="4"/>
  <c r="Q12" i="4"/>
  <c r="O13" i="4"/>
  <c r="P13" i="4"/>
  <c r="Q13" i="4"/>
  <c r="O14" i="4"/>
  <c r="P14" i="4"/>
  <c r="Q14" i="4"/>
  <c r="O15" i="4"/>
  <c r="P15" i="4"/>
  <c r="Q15" i="4"/>
  <c r="O16" i="4"/>
  <c r="P16" i="4"/>
  <c r="Q16" i="4"/>
  <c r="O17" i="4"/>
  <c r="P17" i="4"/>
  <c r="Q17" i="4"/>
  <c r="O18" i="4"/>
  <c r="P18" i="4"/>
  <c r="Q18" i="4"/>
  <c r="O19" i="4"/>
  <c r="P19" i="4"/>
  <c r="Q19" i="4"/>
  <c r="O20" i="4"/>
  <c r="P20" i="4"/>
  <c r="Q20" i="4"/>
  <c r="O21" i="4"/>
  <c r="P21" i="4"/>
  <c r="Q21" i="4"/>
  <c r="O22" i="4"/>
  <c r="P22" i="4"/>
  <c r="Q22" i="4"/>
  <c r="O23" i="4"/>
  <c r="P23" i="4"/>
  <c r="Q23" i="4"/>
  <c r="O24" i="4"/>
  <c r="P24" i="4"/>
  <c r="Q24" i="4"/>
  <c r="O25" i="4"/>
  <c r="P25" i="4"/>
  <c r="Q25" i="4"/>
  <c r="O26" i="4"/>
  <c r="P26" i="4"/>
  <c r="Q26" i="4"/>
  <c r="O27" i="4"/>
  <c r="P27" i="4"/>
  <c r="Q27" i="4"/>
  <c r="O28" i="4"/>
  <c r="P28" i="4"/>
  <c r="Q28" i="4"/>
  <c r="O29" i="4"/>
  <c r="P29" i="4"/>
  <c r="Q29" i="4"/>
  <c r="O30" i="4"/>
  <c r="P30" i="4"/>
  <c r="Q30" i="4"/>
  <c r="O31" i="4"/>
  <c r="P31" i="4"/>
  <c r="Q31" i="4"/>
  <c r="O32" i="4"/>
  <c r="P32" i="4"/>
  <c r="Q32" i="4"/>
  <c r="O33" i="4"/>
  <c r="P33" i="4"/>
  <c r="Q33" i="4"/>
  <c r="O34" i="4"/>
  <c r="P34" i="4"/>
  <c r="Q34" i="4"/>
  <c r="O35" i="4"/>
  <c r="P35" i="4"/>
  <c r="Q35" i="4"/>
  <c r="O36" i="4"/>
  <c r="P36" i="4"/>
  <c r="Q36" i="4"/>
  <c r="O37" i="4"/>
  <c r="P37" i="4"/>
  <c r="Q37" i="4"/>
  <c r="O38" i="4"/>
  <c r="P38" i="4"/>
  <c r="Q38" i="4"/>
  <c r="O39" i="4"/>
  <c r="P39" i="4"/>
  <c r="Q39" i="4"/>
  <c r="O40" i="4"/>
  <c r="P40" i="4"/>
  <c r="Q40" i="4"/>
  <c r="O41" i="4"/>
  <c r="P41" i="4"/>
  <c r="Q41" i="4"/>
  <c r="O42" i="4"/>
  <c r="P42" i="4"/>
  <c r="Q42" i="4"/>
  <c r="O43" i="4"/>
  <c r="P43" i="4"/>
  <c r="Q43" i="4"/>
  <c r="O44" i="4"/>
  <c r="P44" i="4"/>
  <c r="Q44" i="4"/>
  <c r="O45" i="4"/>
  <c r="P45" i="4"/>
  <c r="Q45" i="4"/>
  <c r="O46" i="4"/>
  <c r="P46" i="4"/>
  <c r="Q46" i="4"/>
  <c r="O47" i="4"/>
  <c r="P47" i="4"/>
  <c r="Q47" i="4"/>
  <c r="O48" i="4"/>
  <c r="P48" i="4"/>
  <c r="Q48" i="4"/>
  <c r="O49" i="4"/>
  <c r="P49" i="4"/>
  <c r="Q49" i="4"/>
  <c r="O50" i="4"/>
  <c r="P50" i="4"/>
  <c r="Q50" i="4"/>
  <c r="O51" i="4"/>
  <c r="P51" i="4"/>
  <c r="Q51" i="4"/>
  <c r="O52" i="4"/>
  <c r="P52" i="4"/>
  <c r="Q52" i="4"/>
  <c r="O53" i="4"/>
  <c r="P53" i="4"/>
  <c r="Q53" i="4"/>
  <c r="O54" i="4"/>
  <c r="P54" i="4"/>
  <c r="Q54" i="4"/>
  <c r="O55" i="4"/>
  <c r="P55" i="4"/>
  <c r="Q55" i="4"/>
  <c r="O56" i="4"/>
  <c r="P56" i="4"/>
  <c r="Q56" i="4"/>
  <c r="O57" i="4"/>
  <c r="P57" i="4"/>
  <c r="Q57" i="4"/>
  <c r="O58" i="4"/>
  <c r="P58" i="4"/>
  <c r="Q58" i="4"/>
  <c r="O59" i="4"/>
  <c r="P59" i="4"/>
  <c r="Q59" i="4"/>
  <c r="O60" i="4"/>
  <c r="P60" i="4"/>
  <c r="Q60" i="4"/>
  <c r="O61" i="4"/>
  <c r="P61" i="4"/>
  <c r="Q61" i="4"/>
  <c r="O62" i="4"/>
  <c r="P62" i="4"/>
  <c r="Q62" i="4"/>
  <c r="O63" i="4"/>
  <c r="P63" i="4"/>
  <c r="Q63" i="4"/>
  <c r="O64" i="4"/>
  <c r="P64" i="4"/>
  <c r="Q64" i="4"/>
  <c r="O65" i="4"/>
  <c r="P65" i="4"/>
  <c r="Q65" i="4"/>
  <c r="O66" i="4"/>
  <c r="P66" i="4"/>
  <c r="Q66" i="4"/>
  <c r="O67" i="4"/>
  <c r="P67" i="4"/>
  <c r="Q67" i="4"/>
  <c r="O68" i="4"/>
  <c r="P68" i="4"/>
  <c r="Q68" i="4"/>
  <c r="O69" i="4"/>
  <c r="P69" i="4"/>
  <c r="Q69" i="4"/>
  <c r="O70" i="4"/>
  <c r="P70" i="4"/>
  <c r="Q70" i="4"/>
  <c r="O71" i="4"/>
  <c r="P71" i="4"/>
  <c r="Q71" i="4"/>
  <c r="O72" i="4"/>
  <c r="P72" i="4"/>
  <c r="Q72" i="4"/>
  <c r="O73" i="4"/>
  <c r="P73" i="4"/>
  <c r="Q73" i="4"/>
  <c r="O74" i="4"/>
  <c r="P74" i="4"/>
  <c r="Q74" i="4"/>
  <c r="O75" i="4"/>
  <c r="P75" i="4"/>
  <c r="Q75" i="4"/>
  <c r="O76" i="4"/>
  <c r="P76" i="4"/>
  <c r="Q76" i="4"/>
  <c r="O77" i="4"/>
  <c r="P77" i="4"/>
  <c r="Q77" i="4"/>
  <c r="O78" i="4"/>
  <c r="P78" i="4"/>
  <c r="Q78" i="4"/>
  <c r="O79" i="4"/>
  <c r="P79" i="4"/>
  <c r="Q79" i="4"/>
  <c r="O80" i="4"/>
  <c r="P80" i="4"/>
  <c r="Q80" i="4"/>
  <c r="O81" i="4"/>
  <c r="P81" i="4"/>
  <c r="Q81" i="4"/>
  <c r="O82" i="4"/>
  <c r="P82" i="4"/>
  <c r="Q82" i="4"/>
  <c r="O83" i="4"/>
  <c r="P83" i="4"/>
  <c r="Q83" i="4"/>
  <c r="O84" i="4"/>
  <c r="P84" i="4"/>
  <c r="Q84" i="4"/>
  <c r="O85" i="4"/>
  <c r="P85" i="4"/>
  <c r="Q85" i="4"/>
  <c r="O86" i="4"/>
  <c r="P86" i="4"/>
  <c r="Q86" i="4"/>
  <c r="O87" i="4"/>
  <c r="P87" i="4"/>
  <c r="Q87" i="4"/>
  <c r="O88" i="4"/>
  <c r="P88" i="4"/>
  <c r="Q88" i="4"/>
  <c r="O89" i="4"/>
  <c r="P89" i="4"/>
  <c r="Q89" i="4"/>
  <c r="O90" i="4"/>
  <c r="P90" i="4"/>
  <c r="Q90" i="4"/>
  <c r="O91" i="4"/>
  <c r="P91" i="4"/>
  <c r="Q91" i="4"/>
  <c r="O92" i="4"/>
  <c r="P92" i="4"/>
  <c r="Q92" i="4"/>
  <c r="O93" i="4"/>
  <c r="P93" i="4"/>
  <c r="Q93" i="4"/>
  <c r="O94" i="4"/>
  <c r="P94" i="4"/>
  <c r="Q94" i="4"/>
  <c r="O95" i="4"/>
  <c r="P95" i="4"/>
  <c r="Q95" i="4"/>
  <c r="O96" i="4"/>
  <c r="P96" i="4"/>
  <c r="Q96" i="4"/>
  <c r="O97" i="4"/>
  <c r="P97" i="4"/>
  <c r="Q97" i="4"/>
  <c r="O98" i="4"/>
  <c r="P98" i="4"/>
  <c r="Q98" i="4"/>
  <c r="O99" i="4"/>
  <c r="P99" i="4"/>
  <c r="Q99" i="4"/>
  <c r="O100" i="4"/>
  <c r="P100" i="4"/>
  <c r="Q100" i="4"/>
  <c r="O101" i="4"/>
  <c r="P101" i="4"/>
  <c r="Q101" i="4"/>
  <c r="O102" i="4"/>
  <c r="P102" i="4"/>
  <c r="Q102" i="4"/>
  <c r="O103" i="4"/>
  <c r="P103" i="4"/>
  <c r="Q103" i="4"/>
  <c r="O104" i="4"/>
  <c r="P104" i="4"/>
  <c r="Q104" i="4"/>
  <c r="O105" i="4"/>
  <c r="P105" i="4"/>
  <c r="Q105" i="4"/>
  <c r="O106" i="4"/>
  <c r="P106" i="4"/>
  <c r="Q106" i="4"/>
  <c r="O107" i="4"/>
  <c r="P107" i="4"/>
  <c r="Q107" i="4"/>
  <c r="O108" i="4"/>
  <c r="P108" i="4"/>
  <c r="Q108" i="4"/>
  <c r="O109" i="4"/>
  <c r="P109" i="4"/>
  <c r="Q109" i="4"/>
  <c r="O110" i="4"/>
  <c r="P110" i="4"/>
  <c r="Q110" i="4"/>
  <c r="O111" i="4"/>
  <c r="P111" i="4"/>
  <c r="Q111" i="4"/>
  <c r="O112" i="4"/>
  <c r="P112" i="4"/>
  <c r="Q112" i="4"/>
  <c r="O113" i="4"/>
  <c r="P113" i="4"/>
  <c r="Q113" i="4"/>
  <c r="O114" i="4"/>
  <c r="P114" i="4"/>
  <c r="Q114" i="4"/>
  <c r="O115" i="4"/>
  <c r="P115" i="4"/>
  <c r="Q115" i="4"/>
  <c r="O116" i="4"/>
  <c r="P116" i="4"/>
  <c r="Q116" i="4"/>
  <c r="O117" i="4"/>
  <c r="P117" i="4"/>
  <c r="Q117" i="4"/>
  <c r="O118" i="4"/>
  <c r="P118" i="4"/>
  <c r="Q118" i="4"/>
  <c r="O119" i="4"/>
  <c r="P119" i="4"/>
  <c r="Q119" i="4"/>
  <c r="O120" i="4"/>
  <c r="P120" i="4"/>
  <c r="Q120" i="4"/>
  <c r="O121" i="4"/>
  <c r="P121" i="4"/>
  <c r="Q121" i="4"/>
  <c r="O122" i="4"/>
  <c r="P122" i="4"/>
  <c r="Q122" i="4"/>
  <c r="O123" i="4"/>
  <c r="P123" i="4"/>
  <c r="Q123" i="4"/>
  <c r="O124" i="4"/>
  <c r="P124" i="4"/>
  <c r="Q124" i="4"/>
  <c r="O125" i="4"/>
  <c r="P125" i="4"/>
  <c r="Q125" i="4"/>
  <c r="O126" i="4"/>
  <c r="P126" i="4"/>
  <c r="Q126" i="4"/>
  <c r="O127" i="4"/>
  <c r="P127" i="4"/>
  <c r="Q127" i="4"/>
  <c r="O128" i="4"/>
  <c r="P128" i="4"/>
  <c r="Q128" i="4"/>
  <c r="O129" i="4"/>
  <c r="P129" i="4"/>
  <c r="Q129" i="4"/>
  <c r="O130" i="4"/>
  <c r="P130" i="4"/>
  <c r="Q130" i="4"/>
  <c r="O131" i="4"/>
  <c r="P131" i="4"/>
  <c r="Q131" i="4"/>
  <c r="O132" i="4"/>
  <c r="P132" i="4"/>
  <c r="Q132" i="4"/>
  <c r="O133" i="4"/>
  <c r="P133" i="4"/>
  <c r="Q133" i="4"/>
  <c r="O134" i="4"/>
  <c r="P134" i="4"/>
  <c r="Q134" i="4"/>
  <c r="O135" i="4"/>
  <c r="P135" i="4"/>
  <c r="Q135" i="4"/>
  <c r="O136" i="4"/>
  <c r="P136" i="4"/>
  <c r="Q136" i="4"/>
  <c r="O137" i="4"/>
  <c r="P137" i="4"/>
  <c r="Q137" i="4"/>
  <c r="O138" i="4"/>
  <c r="P138" i="4"/>
  <c r="Q138" i="4"/>
  <c r="O139" i="4"/>
  <c r="P139" i="4"/>
  <c r="Q139" i="4"/>
  <c r="O140" i="4"/>
  <c r="P140" i="4"/>
  <c r="Q140" i="4"/>
  <c r="O141" i="4"/>
  <c r="P141" i="4"/>
  <c r="Q141" i="4"/>
  <c r="O142" i="4"/>
  <c r="P142" i="4"/>
  <c r="Q142" i="4"/>
  <c r="O143" i="4"/>
  <c r="P143" i="4"/>
  <c r="Q143" i="4"/>
  <c r="O144" i="4"/>
  <c r="P144" i="4"/>
  <c r="Q144" i="4"/>
  <c r="O145" i="4"/>
  <c r="P145" i="4"/>
  <c r="Q145" i="4"/>
  <c r="O146" i="4"/>
  <c r="P146" i="4"/>
  <c r="Q146" i="4"/>
  <c r="O147" i="4"/>
  <c r="P147" i="4"/>
  <c r="Q147" i="4"/>
  <c r="O148" i="4"/>
  <c r="P148" i="4"/>
  <c r="Q148" i="4"/>
  <c r="O149" i="4"/>
  <c r="P149" i="4"/>
  <c r="Q149" i="4"/>
  <c r="O150" i="4"/>
  <c r="P150" i="4"/>
  <c r="Q150" i="4"/>
  <c r="O151" i="4"/>
  <c r="P151" i="4"/>
  <c r="Q151" i="4"/>
  <c r="O152" i="4"/>
  <c r="P152" i="4"/>
  <c r="Q152" i="4"/>
  <c r="O153" i="4"/>
  <c r="P153" i="4"/>
  <c r="Q153" i="4"/>
  <c r="O154" i="4"/>
  <c r="P154" i="4"/>
  <c r="Q154" i="4"/>
  <c r="O155" i="4"/>
  <c r="P155" i="4"/>
  <c r="Q155" i="4"/>
  <c r="O156" i="4"/>
  <c r="P156" i="4"/>
  <c r="Q156" i="4"/>
  <c r="O157" i="4"/>
  <c r="P157" i="4"/>
  <c r="Q157" i="4"/>
  <c r="O158" i="4"/>
  <c r="P158" i="4"/>
  <c r="Q158" i="4"/>
  <c r="O159" i="4"/>
  <c r="P159" i="4"/>
  <c r="Q159" i="4"/>
  <c r="O160" i="4"/>
  <c r="P160" i="4"/>
  <c r="Q160" i="4"/>
  <c r="O161" i="4"/>
  <c r="P161" i="4"/>
  <c r="Q161" i="4"/>
  <c r="O162" i="4"/>
  <c r="P162" i="4"/>
  <c r="Q162" i="4"/>
  <c r="O163" i="4"/>
  <c r="P163" i="4"/>
  <c r="Q163" i="4"/>
  <c r="O164" i="4"/>
  <c r="P164" i="4"/>
  <c r="Q164" i="4"/>
  <c r="O165" i="4"/>
  <c r="P165" i="4"/>
  <c r="Q165" i="4"/>
  <c r="O166" i="4"/>
  <c r="P166" i="4"/>
  <c r="Q166" i="4"/>
  <c r="O167" i="4"/>
  <c r="P167" i="4"/>
  <c r="Q167" i="4"/>
  <c r="O168" i="4"/>
  <c r="P168" i="4"/>
  <c r="Q168" i="4"/>
  <c r="O169" i="4"/>
  <c r="P169" i="4"/>
  <c r="Q169" i="4"/>
  <c r="O170" i="4"/>
  <c r="P170" i="4"/>
  <c r="Q170" i="4"/>
  <c r="O171" i="4"/>
  <c r="P171" i="4"/>
  <c r="Q171" i="4"/>
  <c r="O172" i="4"/>
  <c r="P172" i="4"/>
  <c r="Q172" i="4"/>
  <c r="O173" i="4"/>
  <c r="P173" i="4"/>
  <c r="Q173" i="4"/>
  <c r="O174" i="4"/>
  <c r="P174" i="4"/>
  <c r="Q174" i="4"/>
  <c r="O175" i="4"/>
  <c r="P175" i="4"/>
  <c r="Q175" i="4"/>
  <c r="O176" i="4"/>
  <c r="P176" i="4"/>
  <c r="Q176" i="4"/>
  <c r="O177" i="4"/>
  <c r="P177" i="4"/>
  <c r="Q177" i="4"/>
  <c r="O178" i="4"/>
  <c r="P178" i="4"/>
  <c r="Q178" i="4"/>
  <c r="O179" i="4"/>
  <c r="P179" i="4"/>
  <c r="Q179" i="4"/>
  <c r="O180" i="4"/>
  <c r="P180" i="4"/>
  <c r="Q180" i="4"/>
  <c r="O181" i="4"/>
  <c r="P181" i="4"/>
  <c r="Q181" i="4"/>
  <c r="O182" i="4"/>
  <c r="P182" i="4"/>
  <c r="Q182" i="4"/>
  <c r="O183" i="4"/>
  <c r="P183" i="4"/>
  <c r="Q183" i="4"/>
  <c r="O184" i="4"/>
  <c r="P184" i="4"/>
  <c r="Q184" i="4"/>
  <c r="O185" i="4"/>
  <c r="P185" i="4"/>
  <c r="Q185" i="4"/>
  <c r="O186" i="4"/>
  <c r="P186" i="4"/>
  <c r="Q186" i="4"/>
  <c r="O187" i="4"/>
  <c r="P187" i="4"/>
  <c r="Q187" i="4"/>
  <c r="O188" i="4"/>
  <c r="P188" i="4"/>
  <c r="Q188" i="4"/>
  <c r="O189" i="4"/>
  <c r="P189" i="4"/>
  <c r="Q189" i="4"/>
  <c r="O190" i="4"/>
  <c r="P190" i="4"/>
  <c r="Q190" i="4"/>
  <c r="O191" i="4"/>
  <c r="P191" i="4"/>
  <c r="Q191" i="4"/>
  <c r="O192" i="4"/>
  <c r="P192" i="4"/>
  <c r="Q192" i="4"/>
  <c r="O193" i="4"/>
  <c r="P193" i="4"/>
  <c r="Q193" i="4"/>
  <c r="O194" i="4"/>
  <c r="P194" i="4"/>
  <c r="Q194" i="4"/>
  <c r="O195" i="4"/>
  <c r="P195" i="4"/>
  <c r="Q195" i="4"/>
  <c r="O196" i="4"/>
  <c r="P196" i="4"/>
  <c r="Q196" i="4"/>
  <c r="O197" i="4"/>
  <c r="P197" i="4"/>
  <c r="Q197" i="4"/>
  <c r="O198" i="4"/>
  <c r="P198" i="4"/>
  <c r="Q198" i="4"/>
  <c r="O199" i="4"/>
  <c r="P199" i="4"/>
  <c r="Q199" i="4"/>
  <c r="O200" i="4"/>
  <c r="P200" i="4"/>
  <c r="Q200" i="4"/>
  <c r="O201" i="4"/>
  <c r="P201" i="4"/>
  <c r="Q201" i="4"/>
  <c r="O202" i="4"/>
  <c r="P202" i="4"/>
  <c r="Q202" i="4"/>
  <c r="O203" i="4"/>
  <c r="P203" i="4"/>
  <c r="Q203" i="4"/>
  <c r="O204" i="4"/>
  <c r="P204" i="4"/>
  <c r="Q204" i="4"/>
  <c r="O205" i="4"/>
  <c r="P205" i="4"/>
  <c r="Q205" i="4"/>
  <c r="O206" i="4"/>
  <c r="P206" i="4"/>
  <c r="Q206" i="4"/>
  <c r="O207" i="4"/>
  <c r="P207" i="4"/>
  <c r="Q207" i="4"/>
  <c r="O208" i="4"/>
  <c r="P208" i="4"/>
  <c r="Q208" i="4"/>
  <c r="O209" i="4"/>
  <c r="P209" i="4"/>
  <c r="Q209" i="4"/>
  <c r="O210" i="4"/>
  <c r="P210" i="4"/>
  <c r="Q210" i="4"/>
  <c r="O211" i="4"/>
  <c r="P211" i="4"/>
  <c r="Q211" i="4"/>
  <c r="O212" i="4"/>
  <c r="P212" i="4"/>
  <c r="Q212" i="4"/>
  <c r="O213" i="4"/>
  <c r="P213" i="4"/>
  <c r="Q213" i="4"/>
  <c r="O214" i="4"/>
  <c r="P214" i="4"/>
  <c r="Q214" i="4"/>
  <c r="O215" i="4"/>
  <c r="P215" i="4"/>
  <c r="Q215" i="4"/>
  <c r="O216" i="4"/>
  <c r="P216" i="4"/>
  <c r="Q216" i="4"/>
  <c r="O217" i="4"/>
  <c r="P217" i="4"/>
  <c r="Q217" i="4"/>
  <c r="O218" i="4"/>
  <c r="P218" i="4"/>
  <c r="Q218" i="4"/>
  <c r="O219" i="4"/>
  <c r="P219" i="4"/>
  <c r="Q219" i="4"/>
  <c r="O220" i="4"/>
  <c r="P220" i="4"/>
  <c r="Q220" i="4"/>
  <c r="O221" i="4"/>
  <c r="P221" i="4"/>
  <c r="Q221" i="4"/>
  <c r="O222" i="4"/>
  <c r="P222" i="4"/>
  <c r="Q222" i="4"/>
  <c r="O223" i="4"/>
  <c r="P223" i="4"/>
  <c r="Q223" i="4"/>
  <c r="O224" i="4"/>
  <c r="P224" i="4"/>
  <c r="Q224" i="4"/>
  <c r="O225" i="4"/>
  <c r="P225" i="4"/>
  <c r="Q225" i="4"/>
  <c r="O226" i="4"/>
  <c r="P226" i="4"/>
  <c r="Q226" i="4"/>
  <c r="O227" i="4"/>
  <c r="P227" i="4"/>
  <c r="Q227" i="4"/>
  <c r="O228" i="4"/>
  <c r="P228" i="4"/>
  <c r="Q228" i="4"/>
  <c r="O229" i="4"/>
  <c r="P229" i="4"/>
  <c r="Q229" i="4"/>
  <c r="O230" i="4"/>
  <c r="P230" i="4"/>
  <c r="Q230" i="4"/>
  <c r="O231" i="4"/>
  <c r="P231" i="4"/>
  <c r="Q231" i="4"/>
  <c r="O232" i="4"/>
  <c r="P232" i="4"/>
  <c r="Q232" i="4"/>
  <c r="O233" i="4"/>
  <c r="P233" i="4"/>
  <c r="Q233" i="4"/>
  <c r="O234" i="4"/>
  <c r="P234" i="4"/>
  <c r="Q234" i="4"/>
  <c r="O235" i="4"/>
  <c r="P235" i="4"/>
  <c r="Q235" i="4"/>
  <c r="O236" i="4"/>
  <c r="P236" i="4"/>
  <c r="Q236" i="4"/>
  <c r="O237" i="4"/>
  <c r="P237" i="4"/>
  <c r="Q237" i="4"/>
  <c r="O238" i="4"/>
  <c r="P238" i="4"/>
  <c r="Q238" i="4"/>
  <c r="O239" i="4"/>
  <c r="P239" i="4"/>
  <c r="Q239" i="4"/>
  <c r="O240" i="4"/>
  <c r="P240" i="4"/>
  <c r="Q240" i="4"/>
  <c r="O241" i="4"/>
  <c r="P241" i="4"/>
  <c r="Q241" i="4"/>
  <c r="O242" i="4"/>
  <c r="P242" i="4"/>
  <c r="Q242" i="4"/>
  <c r="O243" i="4"/>
  <c r="P243" i="4"/>
  <c r="Q243" i="4"/>
  <c r="O244" i="4"/>
  <c r="P244" i="4"/>
  <c r="Q244" i="4"/>
  <c r="O245" i="4"/>
  <c r="P245" i="4"/>
  <c r="Q245" i="4"/>
  <c r="O246" i="4"/>
  <c r="P246" i="4"/>
  <c r="Q246" i="4"/>
  <c r="O247" i="4"/>
  <c r="P247" i="4"/>
  <c r="Q247" i="4"/>
  <c r="O248" i="4"/>
  <c r="P248" i="4"/>
  <c r="Q248" i="4"/>
  <c r="O249" i="4"/>
  <c r="P249" i="4"/>
  <c r="Q249" i="4"/>
  <c r="O250" i="4"/>
  <c r="P250" i="4"/>
  <c r="Q250" i="4"/>
  <c r="O251" i="4"/>
  <c r="P251" i="4"/>
  <c r="Q251" i="4"/>
  <c r="O252" i="4"/>
  <c r="P252" i="4"/>
  <c r="Q252" i="4"/>
  <c r="O253" i="4"/>
  <c r="P253" i="4"/>
  <c r="Q253" i="4"/>
  <c r="O254" i="4"/>
  <c r="P254" i="4"/>
  <c r="Q254" i="4"/>
  <c r="O255" i="4"/>
  <c r="P255" i="4"/>
  <c r="Q255" i="4"/>
  <c r="O256" i="4"/>
  <c r="P256" i="4"/>
  <c r="Q256" i="4"/>
  <c r="O257" i="4"/>
  <c r="P257" i="4"/>
  <c r="Q257" i="4"/>
  <c r="O258" i="4"/>
  <c r="P258" i="4"/>
  <c r="Q258" i="4"/>
  <c r="O259" i="4"/>
  <c r="P259" i="4"/>
  <c r="Q259" i="4"/>
  <c r="O260" i="4"/>
  <c r="P260" i="4"/>
  <c r="Q260" i="4"/>
  <c r="O261" i="4"/>
  <c r="P261" i="4"/>
  <c r="Q261" i="4"/>
  <c r="O262" i="4"/>
  <c r="P262" i="4"/>
  <c r="Q262" i="4"/>
  <c r="O263" i="4"/>
  <c r="P263" i="4"/>
  <c r="Q263" i="4"/>
  <c r="O264" i="4"/>
  <c r="P264" i="4"/>
  <c r="Q264" i="4"/>
  <c r="O265" i="4"/>
  <c r="P265" i="4"/>
  <c r="Q265" i="4"/>
  <c r="O266" i="4"/>
  <c r="P266" i="4"/>
  <c r="Q266" i="4"/>
  <c r="O267" i="4"/>
  <c r="P267" i="4"/>
  <c r="Q267" i="4"/>
  <c r="O268" i="4"/>
  <c r="P268" i="4"/>
  <c r="Q268" i="4"/>
  <c r="O269" i="4"/>
  <c r="P269" i="4"/>
  <c r="Q269" i="4"/>
  <c r="O270" i="4"/>
  <c r="P270" i="4"/>
  <c r="Q270" i="4"/>
  <c r="O271" i="4"/>
  <c r="P271" i="4"/>
  <c r="Q271" i="4"/>
  <c r="O272" i="4"/>
  <c r="P272" i="4"/>
  <c r="Q272" i="4"/>
  <c r="O273" i="4"/>
  <c r="P273" i="4"/>
  <c r="Q273" i="4"/>
  <c r="O274" i="4"/>
  <c r="P274" i="4"/>
  <c r="Q274" i="4"/>
  <c r="O275" i="4"/>
  <c r="P275" i="4"/>
  <c r="Q275" i="4"/>
  <c r="O276" i="4"/>
  <c r="P276" i="4"/>
  <c r="Q276" i="4"/>
  <c r="O277" i="4"/>
  <c r="P277" i="4"/>
  <c r="Q277" i="4"/>
  <c r="O278" i="4"/>
  <c r="P278" i="4"/>
  <c r="Q278" i="4"/>
  <c r="O279" i="4"/>
  <c r="P279" i="4"/>
  <c r="Q279" i="4"/>
  <c r="O280" i="4"/>
  <c r="P280" i="4"/>
  <c r="Q280" i="4"/>
  <c r="O281" i="4"/>
  <c r="P281" i="4"/>
  <c r="Q281" i="4"/>
  <c r="O282" i="4"/>
  <c r="P282" i="4"/>
  <c r="Q282" i="4"/>
  <c r="O283" i="4"/>
  <c r="P283" i="4"/>
  <c r="Q283" i="4"/>
  <c r="O284" i="4"/>
  <c r="P284" i="4"/>
  <c r="Q284" i="4"/>
  <c r="O285" i="4"/>
  <c r="P285" i="4"/>
  <c r="Q285" i="4"/>
  <c r="O286" i="4"/>
  <c r="P286" i="4"/>
  <c r="Q286" i="4"/>
  <c r="O287" i="4"/>
  <c r="P287" i="4"/>
  <c r="Q287" i="4"/>
  <c r="O288" i="4"/>
  <c r="P288" i="4"/>
  <c r="Q288" i="4"/>
  <c r="O289" i="4"/>
  <c r="P289" i="4"/>
  <c r="Q289" i="4"/>
  <c r="O290" i="4"/>
  <c r="P290" i="4"/>
  <c r="Q290" i="4"/>
  <c r="O291" i="4"/>
  <c r="P291" i="4"/>
  <c r="Q291" i="4"/>
  <c r="O292" i="4"/>
  <c r="P292" i="4"/>
  <c r="Q292" i="4"/>
  <c r="O293" i="4"/>
  <c r="P293" i="4"/>
  <c r="Q293" i="4"/>
  <c r="O294" i="4"/>
  <c r="P294" i="4"/>
  <c r="Q294" i="4"/>
  <c r="O295" i="4"/>
  <c r="P295" i="4"/>
  <c r="Q295" i="4"/>
  <c r="O296" i="4"/>
  <c r="P296" i="4"/>
  <c r="Q296" i="4"/>
  <c r="O297" i="4"/>
  <c r="P297" i="4"/>
  <c r="Q297" i="4"/>
  <c r="O298" i="4"/>
  <c r="P298" i="4"/>
  <c r="Q298" i="4"/>
  <c r="O299" i="4"/>
  <c r="P299" i="4"/>
  <c r="Q299" i="4"/>
  <c r="O300" i="4"/>
  <c r="P300" i="4"/>
  <c r="Q300" i="4"/>
  <c r="O301" i="4"/>
  <c r="P301" i="4"/>
  <c r="Q301" i="4"/>
  <c r="O302" i="4"/>
  <c r="P302" i="4"/>
  <c r="Q302" i="4"/>
  <c r="O303" i="4"/>
  <c r="P303" i="4"/>
  <c r="Q303" i="4"/>
  <c r="O304" i="4"/>
  <c r="P304" i="4"/>
  <c r="Q304" i="4"/>
  <c r="O305" i="4"/>
  <c r="P305" i="4"/>
  <c r="Q305" i="4"/>
  <c r="O306" i="4"/>
  <c r="P306" i="4"/>
  <c r="Q306" i="4"/>
  <c r="O307" i="4"/>
  <c r="P307" i="4"/>
  <c r="Q307" i="4"/>
  <c r="O308" i="4"/>
  <c r="P308" i="4"/>
  <c r="Q308" i="4"/>
  <c r="O309" i="4"/>
  <c r="P309" i="4"/>
  <c r="Q309" i="4"/>
  <c r="O310" i="4"/>
  <c r="P310" i="4"/>
  <c r="Q310" i="4"/>
  <c r="O311" i="4"/>
  <c r="P311" i="4"/>
  <c r="Q311" i="4"/>
  <c r="O312" i="4"/>
  <c r="P312" i="4"/>
  <c r="Q312" i="4"/>
  <c r="O313" i="4"/>
  <c r="P313" i="4"/>
  <c r="Q313" i="4"/>
  <c r="O314" i="4"/>
  <c r="P314" i="4"/>
  <c r="Q314" i="4"/>
  <c r="O315" i="4"/>
  <c r="P315" i="4"/>
  <c r="Q315" i="4"/>
  <c r="O316" i="4"/>
  <c r="P316" i="4"/>
  <c r="Q316" i="4"/>
  <c r="O317" i="4"/>
  <c r="P317" i="4"/>
  <c r="Q317" i="4"/>
  <c r="O318" i="4"/>
  <c r="P318" i="4"/>
  <c r="Q318" i="4"/>
  <c r="O319" i="4"/>
  <c r="P319" i="4"/>
  <c r="Q319" i="4"/>
  <c r="O320" i="4"/>
  <c r="P320" i="4"/>
  <c r="Q320" i="4"/>
  <c r="O321" i="4"/>
  <c r="P321" i="4"/>
  <c r="Q321" i="4"/>
  <c r="Q2" i="4"/>
  <c r="P2" i="4"/>
  <c r="O2" i="4"/>
</calcChain>
</file>

<file path=xl/sharedStrings.xml><?xml version="1.0" encoding="utf-8"?>
<sst xmlns="http://schemas.openxmlformats.org/spreadsheetml/2006/main" count="4076" uniqueCount="156">
  <si>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</si>
  <si>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</si>
  <si>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</si>
  <si>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</si>
  <si>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</si>
  <si>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</si>
  <si>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</si>
  <si>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</si>
  <si>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</si>
  <si>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</si>
  <si>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</si>
  <si>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</si>
  <si>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</si>
  <si>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</si>
  <si>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</si>
  <si>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</si>
  <si>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</si>
  <si>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</si>
  <si>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</si>
  <si>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</si>
  <si>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</si>
  <si>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</si>
  <si>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</si>
  <si>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</si>
  <si>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</si>
  <si>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</si>
  <si>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</si>
  <si>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</si>
  <si>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</si>
  <si>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</si>
  <si>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</si>
  <si>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</si>
  <si>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</si>
  <si>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</si>
  <si>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</si>
  <si>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</si>
  <si>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</si>
  <si>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</si>
  <si>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</si>
  <si>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</si>
  <si>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</si>
  <si>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</si>
  <si>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</si>
  <si>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</si>
  <si>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</si>
  <si>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</si>
  <si>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</si>
  <si>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</si>
  <si>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</si>
  <si>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</si>
  <si>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</si>
  <si>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</si>
  <si>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</si>
  <si>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</si>
  <si>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</si>
  <si>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</si>
  <si>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</si>
  <si>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</si>
  <si>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</si>
  <si>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</si>
  <si>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</si>
  <si>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</si>
  <si>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</si>
  <si>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</si>
  <si>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</si>
  <si>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</si>
  <si>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</si>
  <si>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</si>
  <si>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</si>
  <si>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</si>
  <si>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</si>
  <si>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</si>
  <si>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</si>
  <si>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</si>
  <si>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</si>
  <si>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</si>
  <si>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</si>
  <si>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</si>
  <si>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</si>
  <si>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</si>
  <si>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</si>
  <si>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</si>
  <si>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</si>
  <si>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</si>
  <si>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</si>
  <si>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</si>
  <si>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</si>
  <si>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</si>
  <si>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</si>
  <si>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</si>
  <si>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</si>
  <si>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</si>
  <si>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</si>
  <si>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</si>
  <si>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</si>
  <si>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</si>
  <si>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</si>
  <si>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</si>
  <si>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</si>
  <si>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</si>
  <si>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</si>
  <si>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</si>
  <si>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</si>
  <si>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</si>
  <si>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</si>
  <si>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</si>
  <si>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</si>
  <si>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</si>
  <si>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</si>
  <si>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</si>
  <si>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</si>
  <si>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</si>
  <si>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</si>
  <si>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</si>
  <si>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</si>
  <si>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</si>
  <si>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</si>
  <si>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</si>
  <si>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missing</t>
  </si>
  <si>
    <t>region_dummy_north</t>
  </si>
  <si>
    <t>region_dummy_south</t>
  </si>
  <si>
    <t>region_dummy_east</t>
  </si>
  <si>
    <t>store_dummy_residential</t>
  </si>
  <si>
    <t>store_dummy_mall</t>
  </si>
  <si>
    <t>store_dummy_highstreet</t>
  </si>
  <si>
    <t>Independent Variable - marketing spend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</si>
  <si>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</si>
  <si>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</si>
  <si>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</si>
  <si>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</si>
  <si>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</si>
  <si>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</si>
  <si>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</si>
  <si>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</si>
  <si>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</si>
  <si>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</si>
  <si>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</si>
  <si>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</si>
  <si>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</si>
  <si>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</si>
  <si>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</si>
  <si>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</si>
  <si>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</si>
  <si>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</si>
  <si>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</si>
  <si>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</si>
  <si>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</si>
  <si>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</si>
  <si>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</si>
  <si>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</si>
  <si>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Independent Variable - footfall</t>
  </si>
  <si>
    <t>Independent Variable - avg disc %</t>
  </si>
  <si>
    <t>RESIDUAL OUTPUT</t>
  </si>
  <si>
    <t>Observation</t>
  </si>
  <si>
    <t>Predicted monthly_sales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</si>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</sst>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'Multiple Regression'!$E$2:$E$321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dummy_variable!$M$2:$M$321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D-9D45-95C9-7F105A6C710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'Multiple Regression'!$E$2:$E$321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'Multiple Regression'!$Y$34:$Y$353</c:f>
              <c:numCache>
                <c:formatCode>General</c:formatCode>
                <c:ptCount val="320"/>
                <c:pt idx="0">
                  <c:v>761800.2357142336</c:v>
                </c:pt>
                <c:pt idx="1">
                  <c:v>726823.80352143536</c:v>
                </c:pt>
                <c:pt idx="2">
                  <c:v>769070.39296786638</c:v>
                </c:pt>
                <c:pt idx="3">
                  <c:v>775471.15195994591</c:v>
                </c:pt>
                <c:pt idx="4">
                  <c:v>761838.80182487844</c:v>
                </c:pt>
                <c:pt idx="5">
                  <c:v>799213.44401424867</c:v>
                </c:pt>
                <c:pt idx="6">
                  <c:v>804973.36656135763</c:v>
                </c:pt>
                <c:pt idx="7">
                  <c:v>760579.46111643268</c:v>
                </c:pt>
                <c:pt idx="8">
                  <c:v>839122.97620610567</c:v>
                </c:pt>
                <c:pt idx="9">
                  <c:v>783552.53400812368</c:v>
                </c:pt>
                <c:pt idx="10">
                  <c:v>736395.84591749916</c:v>
                </c:pt>
                <c:pt idx="11">
                  <c:v>862172.2051033536</c:v>
                </c:pt>
                <c:pt idx="12">
                  <c:v>906751.87738530547</c:v>
                </c:pt>
                <c:pt idx="13">
                  <c:v>794711.19444486336</c:v>
                </c:pt>
                <c:pt idx="14">
                  <c:v>753281.3514456976</c:v>
                </c:pt>
                <c:pt idx="15">
                  <c:v>858972.53446940111</c:v>
                </c:pt>
                <c:pt idx="16">
                  <c:v>699033.51028207922</c:v>
                </c:pt>
                <c:pt idx="17">
                  <c:v>606850.32812692062</c:v>
                </c:pt>
                <c:pt idx="18">
                  <c:v>682418.34893507068</c:v>
                </c:pt>
                <c:pt idx="19">
                  <c:v>603623.44740455621</c:v>
                </c:pt>
                <c:pt idx="20">
                  <c:v>517523.18923537963</c:v>
                </c:pt>
                <c:pt idx="21">
                  <c:v>502495.44007809501</c:v>
                </c:pt>
                <c:pt idx="22">
                  <c:v>555447.61013952433</c:v>
                </c:pt>
                <c:pt idx="23">
                  <c:v>547598.82441293076</c:v>
                </c:pt>
                <c:pt idx="24">
                  <c:v>804668.77643318055</c:v>
                </c:pt>
                <c:pt idx="25">
                  <c:v>889039.36292144214</c:v>
                </c:pt>
                <c:pt idx="26">
                  <c:v>767388.0790518776</c:v>
                </c:pt>
                <c:pt idx="27">
                  <c:v>698577.23642136122</c:v>
                </c:pt>
                <c:pt idx="28">
                  <c:v>607878.17724350502</c:v>
                </c:pt>
                <c:pt idx="29">
                  <c:v>540000.69037001394</c:v>
                </c:pt>
                <c:pt idx="30">
                  <c:v>529320.40577941353</c:v>
                </c:pt>
                <c:pt idx="31">
                  <c:v>504203.16248342994</c:v>
                </c:pt>
                <c:pt idx="32">
                  <c:v>770139.22784534784</c:v>
                </c:pt>
                <c:pt idx="33">
                  <c:v>878226.50031760894</c:v>
                </c:pt>
                <c:pt idx="34">
                  <c:v>806432.44453818083</c:v>
                </c:pt>
                <c:pt idx="35">
                  <c:v>796818.8339149229</c:v>
                </c:pt>
                <c:pt idx="36">
                  <c:v>782193.62809675792</c:v>
                </c:pt>
                <c:pt idx="37">
                  <c:v>737818.03873692348</c:v>
                </c:pt>
                <c:pt idx="38">
                  <c:v>750394.98707073811</c:v>
                </c:pt>
                <c:pt idx="39">
                  <c:v>796726.53330956178</c:v>
                </c:pt>
                <c:pt idx="40">
                  <c:v>556782.23638429516</c:v>
                </c:pt>
                <c:pt idx="41">
                  <c:v>555336.75875122438</c:v>
                </c:pt>
                <c:pt idx="42">
                  <c:v>585882.65290090884</c:v>
                </c:pt>
                <c:pt idx="43">
                  <c:v>601448.46072989609</c:v>
                </c:pt>
                <c:pt idx="44">
                  <c:v>731569.8519977415</c:v>
                </c:pt>
                <c:pt idx="45">
                  <c:v>608200.31107214605</c:v>
                </c:pt>
                <c:pt idx="46">
                  <c:v>581770.00515633717</c:v>
                </c:pt>
                <c:pt idx="47">
                  <c:v>578113.19297493261</c:v>
                </c:pt>
                <c:pt idx="48">
                  <c:v>623226.68920045486</c:v>
                </c:pt>
                <c:pt idx="49">
                  <c:v>632240.49622935988</c:v>
                </c:pt>
                <c:pt idx="50">
                  <c:v>635647.49185678782</c:v>
                </c:pt>
                <c:pt idx="51">
                  <c:v>719440.41930099169</c:v>
                </c:pt>
                <c:pt idx="52">
                  <c:v>569841.23169364699</c:v>
                </c:pt>
                <c:pt idx="53">
                  <c:v>694485.38681705634</c:v>
                </c:pt>
                <c:pt idx="54">
                  <c:v>674897.70809636801</c:v>
                </c:pt>
                <c:pt idx="55">
                  <c:v>528103.15514020121</c:v>
                </c:pt>
                <c:pt idx="56">
                  <c:v>509458.8326143857</c:v>
                </c:pt>
                <c:pt idx="57">
                  <c:v>555716.74300885655</c:v>
                </c:pt>
                <c:pt idx="58">
                  <c:v>664579.10259470681</c:v>
                </c:pt>
                <c:pt idx="59">
                  <c:v>606126.76016147586</c:v>
                </c:pt>
                <c:pt idx="60">
                  <c:v>664692.48030474735</c:v>
                </c:pt>
                <c:pt idx="61">
                  <c:v>575018.01073485031</c:v>
                </c:pt>
                <c:pt idx="62">
                  <c:v>583481.94477141998</c:v>
                </c:pt>
                <c:pt idx="63">
                  <c:v>709500.52251573</c:v>
                </c:pt>
                <c:pt idx="64">
                  <c:v>784873.98042679613</c:v>
                </c:pt>
                <c:pt idx="65">
                  <c:v>717812.79134865908</c:v>
                </c:pt>
                <c:pt idx="66">
                  <c:v>810994.78287815105</c:v>
                </c:pt>
                <c:pt idx="67">
                  <c:v>723106.28244786826</c:v>
                </c:pt>
                <c:pt idx="68">
                  <c:v>595824.6024713146</c:v>
                </c:pt>
                <c:pt idx="69">
                  <c:v>527388.759222692</c:v>
                </c:pt>
                <c:pt idx="70">
                  <c:v>565672.40574079135</c:v>
                </c:pt>
                <c:pt idx="71">
                  <c:v>650656.75905812986</c:v>
                </c:pt>
                <c:pt idx="72">
                  <c:v>633676.04109209729</c:v>
                </c:pt>
                <c:pt idx="73">
                  <c:v>691276.23939183634</c:v>
                </c:pt>
                <c:pt idx="74">
                  <c:v>699258.91283686494</c:v>
                </c:pt>
                <c:pt idx="75">
                  <c:v>732650.19316887658</c:v>
                </c:pt>
                <c:pt idx="76">
                  <c:v>686535.41862681031</c:v>
                </c:pt>
                <c:pt idx="77">
                  <c:v>663913.97339053103</c:v>
                </c:pt>
                <c:pt idx="78">
                  <c:v>733795.08735294873</c:v>
                </c:pt>
                <c:pt idx="79">
                  <c:v>673631.62515207252</c:v>
                </c:pt>
                <c:pt idx="80">
                  <c:v>641934.67763094511</c:v>
                </c:pt>
                <c:pt idx="81">
                  <c:v>616994.00117289869</c:v>
                </c:pt>
                <c:pt idx="82">
                  <c:v>638088.34420019609</c:v>
                </c:pt>
                <c:pt idx="83">
                  <c:v>565660.06639544654</c:v>
                </c:pt>
                <c:pt idx="84">
                  <c:v>564342.88301705685</c:v>
                </c:pt>
                <c:pt idx="85">
                  <c:v>623476.43244029605</c:v>
                </c:pt>
                <c:pt idx="86">
                  <c:v>617827.19936171197</c:v>
                </c:pt>
                <c:pt idx="87">
                  <c:v>458644.74563212355</c:v>
                </c:pt>
                <c:pt idx="88">
                  <c:v>697720.12468882394</c:v>
                </c:pt>
                <c:pt idx="89">
                  <c:v>747333.37845070811</c:v>
                </c:pt>
                <c:pt idx="90">
                  <c:v>697639.42139524082</c:v>
                </c:pt>
                <c:pt idx="91">
                  <c:v>563321.32756371086</c:v>
                </c:pt>
                <c:pt idx="92">
                  <c:v>585691.28516037692</c:v>
                </c:pt>
                <c:pt idx="93">
                  <c:v>701048.32539094368</c:v>
                </c:pt>
                <c:pt idx="94">
                  <c:v>765984.54502858943</c:v>
                </c:pt>
                <c:pt idx="95">
                  <c:v>615091.78840116784</c:v>
                </c:pt>
                <c:pt idx="96">
                  <c:v>676625.5758036382</c:v>
                </c:pt>
                <c:pt idx="97">
                  <c:v>654179.71586391144</c:v>
                </c:pt>
                <c:pt idx="98">
                  <c:v>602862.09920586599</c:v>
                </c:pt>
                <c:pt idx="99">
                  <c:v>630203.10237774451</c:v>
                </c:pt>
                <c:pt idx="100">
                  <c:v>576470.50696763047</c:v>
                </c:pt>
                <c:pt idx="101">
                  <c:v>610214.98775794986</c:v>
                </c:pt>
                <c:pt idx="102">
                  <c:v>721986.64215541992</c:v>
                </c:pt>
                <c:pt idx="103">
                  <c:v>518079.68913128268</c:v>
                </c:pt>
                <c:pt idx="104">
                  <c:v>711199.1452325111</c:v>
                </c:pt>
                <c:pt idx="105">
                  <c:v>780036.47198897274</c:v>
                </c:pt>
                <c:pt idx="106">
                  <c:v>702908.55619742454</c:v>
                </c:pt>
                <c:pt idx="107">
                  <c:v>676583.56635217962</c:v>
                </c:pt>
                <c:pt idx="108">
                  <c:v>712568.02598169644</c:v>
                </c:pt>
                <c:pt idx="109">
                  <c:v>644261.42871135951</c:v>
                </c:pt>
                <c:pt idx="110">
                  <c:v>648131.55015012482</c:v>
                </c:pt>
                <c:pt idx="111">
                  <c:v>598503.21613818372</c:v>
                </c:pt>
                <c:pt idx="112">
                  <c:v>762273.60625253082</c:v>
                </c:pt>
                <c:pt idx="113">
                  <c:v>803706.20448907069</c:v>
                </c:pt>
                <c:pt idx="114">
                  <c:v>740837.02182401868</c:v>
                </c:pt>
                <c:pt idx="115">
                  <c:v>734839.39280493045</c:v>
                </c:pt>
                <c:pt idx="116">
                  <c:v>702378.86154929257</c:v>
                </c:pt>
                <c:pt idx="117">
                  <c:v>741819.07211394899</c:v>
                </c:pt>
                <c:pt idx="118">
                  <c:v>729189.2813617799</c:v>
                </c:pt>
                <c:pt idx="119">
                  <c:v>711188.95556235407</c:v>
                </c:pt>
                <c:pt idx="120">
                  <c:v>580092.25968351332</c:v>
                </c:pt>
                <c:pt idx="121">
                  <c:v>626743.40275213425</c:v>
                </c:pt>
                <c:pt idx="122">
                  <c:v>605964.49657718465</c:v>
                </c:pt>
                <c:pt idx="123">
                  <c:v>475426.22652680677</c:v>
                </c:pt>
                <c:pt idx="124">
                  <c:v>814791.05313869461</c:v>
                </c:pt>
                <c:pt idx="125">
                  <c:v>813924.71182143141</c:v>
                </c:pt>
                <c:pt idx="126">
                  <c:v>774355.61271347688</c:v>
                </c:pt>
                <c:pt idx="127">
                  <c:v>717562.34884886583</c:v>
                </c:pt>
                <c:pt idx="128">
                  <c:v>825847.71873844648</c:v>
                </c:pt>
                <c:pt idx="129">
                  <c:v>821751.86584348278</c:v>
                </c:pt>
                <c:pt idx="130">
                  <c:v>774693.32048987318</c:v>
                </c:pt>
                <c:pt idx="131">
                  <c:v>838110.48666574759</c:v>
                </c:pt>
                <c:pt idx="132">
                  <c:v>583486.43841171206</c:v>
                </c:pt>
                <c:pt idx="133">
                  <c:v>477516.83754798403</c:v>
                </c:pt>
                <c:pt idx="134">
                  <c:v>581852.09075220372</c:v>
                </c:pt>
                <c:pt idx="135">
                  <c:v>538207.6618849861</c:v>
                </c:pt>
                <c:pt idx="136">
                  <c:v>748439.23174097273</c:v>
                </c:pt>
                <c:pt idx="137">
                  <c:v>694844.26038866281</c:v>
                </c:pt>
                <c:pt idx="138">
                  <c:v>692382.49147846899</c:v>
                </c:pt>
                <c:pt idx="139">
                  <c:v>624272.07236387709</c:v>
                </c:pt>
                <c:pt idx="140">
                  <c:v>660464.77467725659</c:v>
                </c:pt>
                <c:pt idx="141">
                  <c:v>680767.63057225768</c:v>
                </c:pt>
                <c:pt idx="142">
                  <c:v>640623.91757593758</c:v>
                </c:pt>
                <c:pt idx="143">
                  <c:v>652381.84087266936</c:v>
                </c:pt>
                <c:pt idx="144">
                  <c:v>618236.92042710795</c:v>
                </c:pt>
                <c:pt idx="145">
                  <c:v>566998.87904103671</c:v>
                </c:pt>
                <c:pt idx="146">
                  <c:v>598299.33324024337</c:v>
                </c:pt>
                <c:pt idx="147">
                  <c:v>579969.19322933035</c:v>
                </c:pt>
                <c:pt idx="148">
                  <c:v>640495.28923369781</c:v>
                </c:pt>
                <c:pt idx="149">
                  <c:v>672413.91626546707</c:v>
                </c:pt>
                <c:pt idx="150">
                  <c:v>638125.07367090986</c:v>
                </c:pt>
                <c:pt idx="151">
                  <c:v>669494.96536704223</c:v>
                </c:pt>
                <c:pt idx="152">
                  <c:v>796597.64673841826</c:v>
                </c:pt>
                <c:pt idx="153">
                  <c:v>691343.77187487006</c:v>
                </c:pt>
                <c:pt idx="154">
                  <c:v>720733.07550490042</c:v>
                </c:pt>
                <c:pt idx="155">
                  <c:v>697243.23357043194</c:v>
                </c:pt>
                <c:pt idx="156">
                  <c:v>717494.54010345333</c:v>
                </c:pt>
                <c:pt idx="157">
                  <c:v>627334.68794953846</c:v>
                </c:pt>
                <c:pt idx="158">
                  <c:v>694517.23638387164</c:v>
                </c:pt>
                <c:pt idx="159">
                  <c:v>550290.55496469093</c:v>
                </c:pt>
                <c:pt idx="160">
                  <c:v>688921.05880561785</c:v>
                </c:pt>
                <c:pt idx="161">
                  <c:v>693857.85063246195</c:v>
                </c:pt>
                <c:pt idx="162">
                  <c:v>724557.76735109987</c:v>
                </c:pt>
                <c:pt idx="163">
                  <c:v>679577.10421045334</c:v>
                </c:pt>
                <c:pt idx="164">
                  <c:v>789138.88096847199</c:v>
                </c:pt>
                <c:pt idx="165">
                  <c:v>732728.94583282038</c:v>
                </c:pt>
                <c:pt idx="166">
                  <c:v>668023.78373269131</c:v>
                </c:pt>
                <c:pt idx="167">
                  <c:v>802905.81554500281</c:v>
                </c:pt>
                <c:pt idx="168">
                  <c:v>779960.91330591124</c:v>
                </c:pt>
                <c:pt idx="169">
                  <c:v>690045.55139960302</c:v>
                </c:pt>
                <c:pt idx="170">
                  <c:v>751178.35697839176</c:v>
                </c:pt>
                <c:pt idx="171">
                  <c:v>695788.72942324483</c:v>
                </c:pt>
                <c:pt idx="172">
                  <c:v>760455.75661552337</c:v>
                </c:pt>
                <c:pt idx="173">
                  <c:v>765161.26452445926</c:v>
                </c:pt>
                <c:pt idx="174">
                  <c:v>802834.58515667228</c:v>
                </c:pt>
                <c:pt idx="175">
                  <c:v>813477.3063287884</c:v>
                </c:pt>
                <c:pt idx="176">
                  <c:v>894228.89010214154</c:v>
                </c:pt>
                <c:pt idx="177">
                  <c:v>690906.21099330334</c:v>
                </c:pt>
                <c:pt idx="178">
                  <c:v>747269.63575476222</c:v>
                </c:pt>
                <c:pt idx="179">
                  <c:v>826330.02505674225</c:v>
                </c:pt>
                <c:pt idx="180">
                  <c:v>858908.17544813047</c:v>
                </c:pt>
                <c:pt idx="181">
                  <c:v>757602.27351468289</c:v>
                </c:pt>
                <c:pt idx="182">
                  <c:v>797764.20759947679</c:v>
                </c:pt>
                <c:pt idx="183">
                  <c:v>827029.11772628874</c:v>
                </c:pt>
                <c:pt idx="184">
                  <c:v>687915.85052306694</c:v>
                </c:pt>
                <c:pt idx="185">
                  <c:v>635416.76818881452</c:v>
                </c:pt>
                <c:pt idx="186">
                  <c:v>675884.89831018797</c:v>
                </c:pt>
                <c:pt idx="187">
                  <c:v>748846.43274083571</c:v>
                </c:pt>
                <c:pt idx="188">
                  <c:v>606204.75822694332</c:v>
                </c:pt>
                <c:pt idx="189">
                  <c:v>543141.00051998615</c:v>
                </c:pt>
                <c:pt idx="190">
                  <c:v>469844.33592189342</c:v>
                </c:pt>
                <c:pt idx="191">
                  <c:v>601560.06467992801</c:v>
                </c:pt>
                <c:pt idx="192">
                  <c:v>692560.73396348266</c:v>
                </c:pt>
                <c:pt idx="193">
                  <c:v>624815.52161674958</c:v>
                </c:pt>
                <c:pt idx="194">
                  <c:v>572130.36258772714</c:v>
                </c:pt>
                <c:pt idx="195">
                  <c:v>539551.72412476572</c:v>
                </c:pt>
                <c:pt idx="196">
                  <c:v>648157.61239706329</c:v>
                </c:pt>
                <c:pt idx="197">
                  <c:v>614118.95915334567</c:v>
                </c:pt>
                <c:pt idx="198">
                  <c:v>613399.634160463</c:v>
                </c:pt>
                <c:pt idx="199">
                  <c:v>648531.77706220793</c:v>
                </c:pt>
                <c:pt idx="200">
                  <c:v>621711.51976274583</c:v>
                </c:pt>
                <c:pt idx="201">
                  <c:v>696760.22370832425</c:v>
                </c:pt>
                <c:pt idx="202">
                  <c:v>675896.36402022222</c:v>
                </c:pt>
                <c:pt idx="203">
                  <c:v>670482.2694377047</c:v>
                </c:pt>
                <c:pt idx="204">
                  <c:v>823120.393193483</c:v>
                </c:pt>
                <c:pt idx="205">
                  <c:v>723555.82872879936</c:v>
                </c:pt>
                <c:pt idx="206">
                  <c:v>748608.48286144377</c:v>
                </c:pt>
                <c:pt idx="207">
                  <c:v>739481.40585015505</c:v>
                </c:pt>
                <c:pt idx="208">
                  <c:v>810185.46360147628</c:v>
                </c:pt>
                <c:pt idx="209">
                  <c:v>780660.48684842919</c:v>
                </c:pt>
                <c:pt idx="210">
                  <c:v>958438.28698671446</c:v>
                </c:pt>
                <c:pt idx="211">
                  <c:v>782198.03430234909</c:v>
                </c:pt>
                <c:pt idx="212">
                  <c:v>775767.90042674937</c:v>
                </c:pt>
                <c:pt idx="213">
                  <c:v>757168.03064839554</c:v>
                </c:pt>
                <c:pt idx="214">
                  <c:v>770961.2142002011</c:v>
                </c:pt>
                <c:pt idx="215">
                  <c:v>824451.42166050419</c:v>
                </c:pt>
                <c:pt idx="216">
                  <c:v>656862.03774729953</c:v>
                </c:pt>
                <c:pt idx="217">
                  <c:v>593750.99745248479</c:v>
                </c:pt>
                <c:pt idx="218">
                  <c:v>604889.76305588474</c:v>
                </c:pt>
                <c:pt idx="219">
                  <c:v>572792.07601229975</c:v>
                </c:pt>
                <c:pt idx="220">
                  <c:v>699452.86765290902</c:v>
                </c:pt>
                <c:pt idx="221">
                  <c:v>678902.57347481058</c:v>
                </c:pt>
                <c:pt idx="222">
                  <c:v>737196.34944668179</c:v>
                </c:pt>
                <c:pt idx="223">
                  <c:v>781764.62422442634</c:v>
                </c:pt>
                <c:pt idx="224">
                  <c:v>625144.44373897475</c:v>
                </c:pt>
                <c:pt idx="225">
                  <c:v>557712.41118736111</c:v>
                </c:pt>
                <c:pt idx="226">
                  <c:v>570861.31000628683</c:v>
                </c:pt>
                <c:pt idx="227">
                  <c:v>490072.03176239127</c:v>
                </c:pt>
                <c:pt idx="228">
                  <c:v>643337.8390515385</c:v>
                </c:pt>
                <c:pt idx="229">
                  <c:v>818496.03165007988</c:v>
                </c:pt>
                <c:pt idx="230">
                  <c:v>649631.50141536375</c:v>
                </c:pt>
                <c:pt idx="231">
                  <c:v>619935.64856642007</c:v>
                </c:pt>
                <c:pt idx="232">
                  <c:v>597951.69799367734</c:v>
                </c:pt>
                <c:pt idx="233">
                  <c:v>644543.89151204086</c:v>
                </c:pt>
                <c:pt idx="234">
                  <c:v>657843.33414926729</c:v>
                </c:pt>
                <c:pt idx="235">
                  <c:v>658137.94679863297</c:v>
                </c:pt>
                <c:pt idx="236">
                  <c:v>781649.71712326596</c:v>
                </c:pt>
                <c:pt idx="237">
                  <c:v>815775.21086039394</c:v>
                </c:pt>
                <c:pt idx="238">
                  <c:v>781779.38441428298</c:v>
                </c:pt>
                <c:pt idx="239">
                  <c:v>733118.83187125181</c:v>
                </c:pt>
                <c:pt idx="240">
                  <c:v>731665.45568281878</c:v>
                </c:pt>
                <c:pt idx="241">
                  <c:v>650349.96772853832</c:v>
                </c:pt>
                <c:pt idx="242">
                  <c:v>811918.35845141532</c:v>
                </c:pt>
                <c:pt idx="243">
                  <c:v>736566.99475477391</c:v>
                </c:pt>
                <c:pt idx="244">
                  <c:v>786627.70108776761</c:v>
                </c:pt>
                <c:pt idx="245">
                  <c:v>754817.02692996245</c:v>
                </c:pt>
                <c:pt idx="246">
                  <c:v>701064.68065494066</c:v>
                </c:pt>
                <c:pt idx="247">
                  <c:v>684097.90305379964</c:v>
                </c:pt>
                <c:pt idx="248">
                  <c:v>571951.74652953132</c:v>
                </c:pt>
                <c:pt idx="249">
                  <c:v>682441.29505928315</c:v>
                </c:pt>
                <c:pt idx="250">
                  <c:v>640117.59736133472</c:v>
                </c:pt>
                <c:pt idx="251">
                  <c:v>740711.70623059338</c:v>
                </c:pt>
                <c:pt idx="252">
                  <c:v>723006.77183124656</c:v>
                </c:pt>
                <c:pt idx="253">
                  <c:v>702806.55418291385</c:v>
                </c:pt>
                <c:pt idx="254">
                  <c:v>676757.46870179777</c:v>
                </c:pt>
                <c:pt idx="255">
                  <c:v>642802.85239896912</c:v>
                </c:pt>
                <c:pt idx="256">
                  <c:v>750637.56305120292</c:v>
                </c:pt>
                <c:pt idx="257">
                  <c:v>683946.79219456192</c:v>
                </c:pt>
                <c:pt idx="258">
                  <c:v>734386.94874923991</c:v>
                </c:pt>
                <c:pt idx="259">
                  <c:v>713233.32204770308</c:v>
                </c:pt>
                <c:pt idx="260">
                  <c:v>514385.23105076078</c:v>
                </c:pt>
                <c:pt idx="261">
                  <c:v>601975.95007775049</c:v>
                </c:pt>
                <c:pt idx="262">
                  <c:v>622565.60003430548</c:v>
                </c:pt>
                <c:pt idx="263">
                  <c:v>589552.37038637383</c:v>
                </c:pt>
                <c:pt idx="264">
                  <c:v>711523.77769299841</c:v>
                </c:pt>
                <c:pt idx="265">
                  <c:v>744392.92070327303</c:v>
                </c:pt>
                <c:pt idx="266">
                  <c:v>723685.43270540331</c:v>
                </c:pt>
                <c:pt idx="267">
                  <c:v>724623.86995642749</c:v>
                </c:pt>
                <c:pt idx="268">
                  <c:v>723322.78758485196</c:v>
                </c:pt>
                <c:pt idx="269">
                  <c:v>691238.84154675831</c:v>
                </c:pt>
                <c:pt idx="270">
                  <c:v>801779.81888193451</c:v>
                </c:pt>
                <c:pt idx="271">
                  <c:v>680684.36595990846</c:v>
                </c:pt>
                <c:pt idx="272">
                  <c:v>650939.55684469535</c:v>
                </c:pt>
                <c:pt idx="273">
                  <c:v>525563.14631629991</c:v>
                </c:pt>
                <c:pt idx="274">
                  <c:v>642369.59342694015</c:v>
                </c:pt>
                <c:pt idx="275">
                  <c:v>626601.34619293839</c:v>
                </c:pt>
                <c:pt idx="276">
                  <c:v>753036.14822009613</c:v>
                </c:pt>
                <c:pt idx="277">
                  <c:v>717622.79818639765</c:v>
                </c:pt>
                <c:pt idx="278">
                  <c:v>756257.7182090003</c:v>
                </c:pt>
                <c:pt idx="279">
                  <c:v>792118.07335520559</c:v>
                </c:pt>
                <c:pt idx="280">
                  <c:v>588373.00325924356</c:v>
                </c:pt>
                <c:pt idx="281">
                  <c:v>588546.73177163955</c:v>
                </c:pt>
                <c:pt idx="282">
                  <c:v>668768.17562808364</c:v>
                </c:pt>
                <c:pt idx="283">
                  <c:v>519473.37612025469</c:v>
                </c:pt>
                <c:pt idx="284">
                  <c:v>661396.39235302049</c:v>
                </c:pt>
                <c:pt idx="285">
                  <c:v>629872.53899886366</c:v>
                </c:pt>
                <c:pt idx="286">
                  <c:v>593536.81135356112</c:v>
                </c:pt>
                <c:pt idx="287">
                  <c:v>575776.2734789059</c:v>
                </c:pt>
                <c:pt idx="288">
                  <c:v>746884.35082518519</c:v>
                </c:pt>
                <c:pt idx="289">
                  <c:v>721532.75407625013</c:v>
                </c:pt>
                <c:pt idx="290">
                  <c:v>747233.33487552626</c:v>
                </c:pt>
                <c:pt idx="291">
                  <c:v>706299.70252680127</c:v>
                </c:pt>
                <c:pt idx="292">
                  <c:v>586492.40084741137</c:v>
                </c:pt>
                <c:pt idx="293">
                  <c:v>521560.91265697085</c:v>
                </c:pt>
                <c:pt idx="294">
                  <c:v>497553.51968560647</c:v>
                </c:pt>
                <c:pt idx="295">
                  <c:v>481318.38071780652</c:v>
                </c:pt>
                <c:pt idx="296">
                  <c:v>665017.06357538502</c:v>
                </c:pt>
                <c:pt idx="297">
                  <c:v>659230.93100195203</c:v>
                </c:pt>
                <c:pt idx="298">
                  <c:v>613987.51811189053</c:v>
                </c:pt>
                <c:pt idx="299">
                  <c:v>473961.75006543595</c:v>
                </c:pt>
                <c:pt idx="300">
                  <c:v>719150.64029943664</c:v>
                </c:pt>
                <c:pt idx="301">
                  <c:v>742620.9579261007</c:v>
                </c:pt>
                <c:pt idx="302">
                  <c:v>733704.40401821979</c:v>
                </c:pt>
                <c:pt idx="303">
                  <c:v>702004.27839116089</c:v>
                </c:pt>
                <c:pt idx="304">
                  <c:v>672563.27410002123</c:v>
                </c:pt>
                <c:pt idx="305">
                  <c:v>650295.04839782824</c:v>
                </c:pt>
                <c:pt idx="306">
                  <c:v>631342.27966152376</c:v>
                </c:pt>
                <c:pt idx="307">
                  <c:v>684132.41951882164</c:v>
                </c:pt>
                <c:pt idx="308">
                  <c:v>641863.5994153854</c:v>
                </c:pt>
                <c:pt idx="309">
                  <c:v>596898.84328688146</c:v>
                </c:pt>
                <c:pt idx="310">
                  <c:v>633473.48430645303</c:v>
                </c:pt>
                <c:pt idx="311">
                  <c:v>742930.90362888249</c:v>
                </c:pt>
                <c:pt idx="312">
                  <c:v>703064.55662899965</c:v>
                </c:pt>
                <c:pt idx="313">
                  <c:v>712955.39769835561</c:v>
                </c:pt>
                <c:pt idx="314">
                  <c:v>672770.11795317859</c:v>
                </c:pt>
                <c:pt idx="315">
                  <c:v>808672.49402639235</c:v>
                </c:pt>
                <c:pt idx="316">
                  <c:v>667793.96225007321</c:v>
                </c:pt>
                <c:pt idx="317">
                  <c:v>551251.08089890471</c:v>
                </c:pt>
                <c:pt idx="318">
                  <c:v>741695.48227439425</c:v>
                </c:pt>
                <c:pt idx="319">
                  <c:v>617147.47982416314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D-9D45-95C9-7F105A6C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727872"/>
        <c:axId val="2014729584"/>
      </c:scatterChart>
      <c:valAx>
        <c:axId val="201472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729584"/>
        <c:crosses val="autoZero"/>
        <c:crossBetween val="midCat"/>
      </c:valAx>
      <c:valAx>
        <c:axId val="2014729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727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'Multiple Regression'!$F$2:$F$321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dummy_variable!$M$2:$M$321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4-F64C-83E5-BFA8CC0B515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'Multiple Regression'!$F$2:$F$321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'Multiple Regression'!$Y$34:$Y$353</c:f>
              <c:numCache>
                <c:formatCode>General</c:formatCode>
                <c:ptCount val="320"/>
                <c:pt idx="0">
                  <c:v>761800.2357142336</c:v>
                </c:pt>
                <c:pt idx="1">
                  <c:v>726823.80352143536</c:v>
                </c:pt>
                <c:pt idx="2">
                  <c:v>769070.39296786638</c:v>
                </c:pt>
                <c:pt idx="3">
                  <c:v>775471.15195994591</c:v>
                </c:pt>
                <c:pt idx="4">
                  <c:v>761838.80182487844</c:v>
                </c:pt>
                <c:pt idx="5">
                  <c:v>799213.44401424867</c:v>
                </c:pt>
                <c:pt idx="6">
                  <c:v>804973.36656135763</c:v>
                </c:pt>
                <c:pt idx="7">
                  <c:v>760579.46111643268</c:v>
                </c:pt>
                <c:pt idx="8">
                  <c:v>839122.97620610567</c:v>
                </c:pt>
                <c:pt idx="9">
                  <c:v>783552.53400812368</c:v>
                </c:pt>
                <c:pt idx="10">
                  <c:v>736395.84591749916</c:v>
                </c:pt>
                <c:pt idx="11">
                  <c:v>862172.2051033536</c:v>
                </c:pt>
                <c:pt idx="12">
                  <c:v>906751.87738530547</c:v>
                </c:pt>
                <c:pt idx="13">
                  <c:v>794711.19444486336</c:v>
                </c:pt>
                <c:pt idx="14">
                  <c:v>753281.3514456976</c:v>
                </c:pt>
                <c:pt idx="15">
                  <c:v>858972.53446940111</c:v>
                </c:pt>
                <c:pt idx="16">
                  <c:v>699033.51028207922</c:v>
                </c:pt>
                <c:pt idx="17">
                  <c:v>606850.32812692062</c:v>
                </c:pt>
                <c:pt idx="18">
                  <c:v>682418.34893507068</c:v>
                </c:pt>
                <c:pt idx="19">
                  <c:v>603623.44740455621</c:v>
                </c:pt>
                <c:pt idx="20">
                  <c:v>517523.18923537963</c:v>
                </c:pt>
                <c:pt idx="21">
                  <c:v>502495.44007809501</c:v>
                </c:pt>
                <c:pt idx="22">
                  <c:v>555447.61013952433</c:v>
                </c:pt>
                <c:pt idx="23">
                  <c:v>547598.82441293076</c:v>
                </c:pt>
                <c:pt idx="24">
                  <c:v>804668.77643318055</c:v>
                </c:pt>
                <c:pt idx="25">
                  <c:v>889039.36292144214</c:v>
                </c:pt>
                <c:pt idx="26">
                  <c:v>767388.0790518776</c:v>
                </c:pt>
                <c:pt idx="27">
                  <c:v>698577.23642136122</c:v>
                </c:pt>
                <c:pt idx="28">
                  <c:v>607878.17724350502</c:v>
                </c:pt>
                <c:pt idx="29">
                  <c:v>540000.69037001394</c:v>
                </c:pt>
                <c:pt idx="30">
                  <c:v>529320.40577941353</c:v>
                </c:pt>
                <c:pt idx="31">
                  <c:v>504203.16248342994</c:v>
                </c:pt>
                <c:pt idx="32">
                  <c:v>770139.22784534784</c:v>
                </c:pt>
                <c:pt idx="33">
                  <c:v>878226.50031760894</c:v>
                </c:pt>
                <c:pt idx="34">
                  <c:v>806432.44453818083</c:v>
                </c:pt>
                <c:pt idx="35">
                  <c:v>796818.8339149229</c:v>
                </c:pt>
                <c:pt idx="36">
                  <c:v>782193.62809675792</c:v>
                </c:pt>
                <c:pt idx="37">
                  <c:v>737818.03873692348</c:v>
                </c:pt>
                <c:pt idx="38">
                  <c:v>750394.98707073811</c:v>
                </c:pt>
                <c:pt idx="39">
                  <c:v>796726.53330956178</c:v>
                </c:pt>
                <c:pt idx="40">
                  <c:v>556782.23638429516</c:v>
                </c:pt>
                <c:pt idx="41">
                  <c:v>555336.75875122438</c:v>
                </c:pt>
                <c:pt idx="42">
                  <c:v>585882.65290090884</c:v>
                </c:pt>
                <c:pt idx="43">
                  <c:v>601448.46072989609</c:v>
                </c:pt>
                <c:pt idx="44">
                  <c:v>731569.8519977415</c:v>
                </c:pt>
                <c:pt idx="45">
                  <c:v>608200.31107214605</c:v>
                </c:pt>
                <c:pt idx="46">
                  <c:v>581770.00515633717</c:v>
                </c:pt>
                <c:pt idx="47">
                  <c:v>578113.19297493261</c:v>
                </c:pt>
                <c:pt idx="48">
                  <c:v>623226.68920045486</c:v>
                </c:pt>
                <c:pt idx="49">
                  <c:v>632240.49622935988</c:v>
                </c:pt>
                <c:pt idx="50">
                  <c:v>635647.49185678782</c:v>
                </c:pt>
                <c:pt idx="51">
                  <c:v>719440.41930099169</c:v>
                </c:pt>
                <c:pt idx="52">
                  <c:v>569841.23169364699</c:v>
                </c:pt>
                <c:pt idx="53">
                  <c:v>694485.38681705634</c:v>
                </c:pt>
                <c:pt idx="54">
                  <c:v>674897.70809636801</c:v>
                </c:pt>
                <c:pt idx="55">
                  <c:v>528103.15514020121</c:v>
                </c:pt>
                <c:pt idx="56">
                  <c:v>509458.8326143857</c:v>
                </c:pt>
                <c:pt idx="57">
                  <c:v>555716.74300885655</c:v>
                </c:pt>
                <c:pt idx="58">
                  <c:v>664579.10259470681</c:v>
                </c:pt>
                <c:pt idx="59">
                  <c:v>606126.76016147586</c:v>
                </c:pt>
                <c:pt idx="60">
                  <c:v>664692.48030474735</c:v>
                </c:pt>
                <c:pt idx="61">
                  <c:v>575018.01073485031</c:v>
                </c:pt>
                <c:pt idx="62">
                  <c:v>583481.94477141998</c:v>
                </c:pt>
                <c:pt idx="63">
                  <c:v>709500.52251573</c:v>
                </c:pt>
                <c:pt idx="64">
                  <c:v>784873.98042679613</c:v>
                </c:pt>
                <c:pt idx="65">
                  <c:v>717812.79134865908</c:v>
                </c:pt>
                <c:pt idx="66">
                  <c:v>810994.78287815105</c:v>
                </c:pt>
                <c:pt idx="67">
                  <c:v>723106.28244786826</c:v>
                </c:pt>
                <c:pt idx="68">
                  <c:v>595824.6024713146</c:v>
                </c:pt>
                <c:pt idx="69">
                  <c:v>527388.759222692</c:v>
                </c:pt>
                <c:pt idx="70">
                  <c:v>565672.40574079135</c:v>
                </c:pt>
                <c:pt idx="71">
                  <c:v>650656.75905812986</c:v>
                </c:pt>
                <c:pt idx="72">
                  <c:v>633676.04109209729</c:v>
                </c:pt>
                <c:pt idx="73">
                  <c:v>691276.23939183634</c:v>
                </c:pt>
                <c:pt idx="74">
                  <c:v>699258.91283686494</c:v>
                </c:pt>
                <c:pt idx="75">
                  <c:v>732650.19316887658</c:v>
                </c:pt>
                <c:pt idx="76">
                  <c:v>686535.41862681031</c:v>
                </c:pt>
                <c:pt idx="77">
                  <c:v>663913.97339053103</c:v>
                </c:pt>
                <c:pt idx="78">
                  <c:v>733795.08735294873</c:v>
                </c:pt>
                <c:pt idx="79">
                  <c:v>673631.62515207252</c:v>
                </c:pt>
                <c:pt idx="80">
                  <c:v>641934.67763094511</c:v>
                </c:pt>
                <c:pt idx="81">
                  <c:v>616994.00117289869</c:v>
                </c:pt>
                <c:pt idx="82">
                  <c:v>638088.34420019609</c:v>
                </c:pt>
                <c:pt idx="83">
                  <c:v>565660.06639544654</c:v>
                </c:pt>
                <c:pt idx="84">
                  <c:v>564342.88301705685</c:v>
                </c:pt>
                <c:pt idx="85">
                  <c:v>623476.43244029605</c:v>
                </c:pt>
                <c:pt idx="86">
                  <c:v>617827.19936171197</c:v>
                </c:pt>
                <c:pt idx="87">
                  <c:v>458644.74563212355</c:v>
                </c:pt>
                <c:pt idx="88">
                  <c:v>697720.12468882394</c:v>
                </c:pt>
                <c:pt idx="89">
                  <c:v>747333.37845070811</c:v>
                </c:pt>
                <c:pt idx="90">
                  <c:v>697639.42139524082</c:v>
                </c:pt>
                <c:pt idx="91">
                  <c:v>563321.32756371086</c:v>
                </c:pt>
                <c:pt idx="92">
                  <c:v>585691.28516037692</c:v>
                </c:pt>
                <c:pt idx="93">
                  <c:v>701048.32539094368</c:v>
                </c:pt>
                <c:pt idx="94">
                  <c:v>765984.54502858943</c:v>
                </c:pt>
                <c:pt idx="95">
                  <c:v>615091.78840116784</c:v>
                </c:pt>
                <c:pt idx="96">
                  <c:v>676625.5758036382</c:v>
                </c:pt>
                <c:pt idx="97">
                  <c:v>654179.71586391144</c:v>
                </c:pt>
                <c:pt idx="98">
                  <c:v>602862.09920586599</c:v>
                </c:pt>
                <c:pt idx="99">
                  <c:v>630203.10237774451</c:v>
                </c:pt>
                <c:pt idx="100">
                  <c:v>576470.50696763047</c:v>
                </c:pt>
                <c:pt idx="101">
                  <c:v>610214.98775794986</c:v>
                </c:pt>
                <c:pt idx="102">
                  <c:v>721986.64215541992</c:v>
                </c:pt>
                <c:pt idx="103">
                  <c:v>518079.68913128268</c:v>
                </c:pt>
                <c:pt idx="104">
                  <c:v>711199.1452325111</c:v>
                </c:pt>
                <c:pt idx="105">
                  <c:v>780036.47198897274</c:v>
                </c:pt>
                <c:pt idx="106">
                  <c:v>702908.55619742454</c:v>
                </c:pt>
                <c:pt idx="107">
                  <c:v>676583.56635217962</c:v>
                </c:pt>
                <c:pt idx="108">
                  <c:v>712568.02598169644</c:v>
                </c:pt>
                <c:pt idx="109">
                  <c:v>644261.42871135951</c:v>
                </c:pt>
                <c:pt idx="110">
                  <c:v>648131.55015012482</c:v>
                </c:pt>
                <c:pt idx="111">
                  <c:v>598503.21613818372</c:v>
                </c:pt>
                <c:pt idx="112">
                  <c:v>762273.60625253082</c:v>
                </c:pt>
                <c:pt idx="113">
                  <c:v>803706.20448907069</c:v>
                </c:pt>
                <c:pt idx="114">
                  <c:v>740837.02182401868</c:v>
                </c:pt>
                <c:pt idx="115">
                  <c:v>734839.39280493045</c:v>
                </c:pt>
                <c:pt idx="116">
                  <c:v>702378.86154929257</c:v>
                </c:pt>
                <c:pt idx="117">
                  <c:v>741819.07211394899</c:v>
                </c:pt>
                <c:pt idx="118">
                  <c:v>729189.2813617799</c:v>
                </c:pt>
                <c:pt idx="119">
                  <c:v>711188.95556235407</c:v>
                </c:pt>
                <c:pt idx="120">
                  <c:v>580092.25968351332</c:v>
                </c:pt>
                <c:pt idx="121">
                  <c:v>626743.40275213425</c:v>
                </c:pt>
                <c:pt idx="122">
                  <c:v>605964.49657718465</c:v>
                </c:pt>
                <c:pt idx="123">
                  <c:v>475426.22652680677</c:v>
                </c:pt>
                <c:pt idx="124">
                  <c:v>814791.05313869461</c:v>
                </c:pt>
                <c:pt idx="125">
                  <c:v>813924.71182143141</c:v>
                </c:pt>
                <c:pt idx="126">
                  <c:v>774355.61271347688</c:v>
                </c:pt>
                <c:pt idx="127">
                  <c:v>717562.34884886583</c:v>
                </c:pt>
                <c:pt idx="128">
                  <c:v>825847.71873844648</c:v>
                </c:pt>
                <c:pt idx="129">
                  <c:v>821751.86584348278</c:v>
                </c:pt>
                <c:pt idx="130">
                  <c:v>774693.32048987318</c:v>
                </c:pt>
                <c:pt idx="131">
                  <c:v>838110.48666574759</c:v>
                </c:pt>
                <c:pt idx="132">
                  <c:v>583486.43841171206</c:v>
                </c:pt>
                <c:pt idx="133">
                  <c:v>477516.83754798403</c:v>
                </c:pt>
                <c:pt idx="134">
                  <c:v>581852.09075220372</c:v>
                </c:pt>
                <c:pt idx="135">
                  <c:v>538207.6618849861</c:v>
                </c:pt>
                <c:pt idx="136">
                  <c:v>748439.23174097273</c:v>
                </c:pt>
                <c:pt idx="137">
                  <c:v>694844.26038866281</c:v>
                </c:pt>
                <c:pt idx="138">
                  <c:v>692382.49147846899</c:v>
                </c:pt>
                <c:pt idx="139">
                  <c:v>624272.07236387709</c:v>
                </c:pt>
                <c:pt idx="140">
                  <c:v>660464.77467725659</c:v>
                </c:pt>
                <c:pt idx="141">
                  <c:v>680767.63057225768</c:v>
                </c:pt>
                <c:pt idx="142">
                  <c:v>640623.91757593758</c:v>
                </c:pt>
                <c:pt idx="143">
                  <c:v>652381.84087266936</c:v>
                </c:pt>
                <c:pt idx="144">
                  <c:v>618236.92042710795</c:v>
                </c:pt>
                <c:pt idx="145">
                  <c:v>566998.87904103671</c:v>
                </c:pt>
                <c:pt idx="146">
                  <c:v>598299.33324024337</c:v>
                </c:pt>
                <c:pt idx="147">
                  <c:v>579969.19322933035</c:v>
                </c:pt>
                <c:pt idx="148">
                  <c:v>640495.28923369781</c:v>
                </c:pt>
                <c:pt idx="149">
                  <c:v>672413.91626546707</c:v>
                </c:pt>
                <c:pt idx="150">
                  <c:v>638125.07367090986</c:v>
                </c:pt>
                <c:pt idx="151">
                  <c:v>669494.96536704223</c:v>
                </c:pt>
                <c:pt idx="152">
                  <c:v>796597.64673841826</c:v>
                </c:pt>
                <c:pt idx="153">
                  <c:v>691343.77187487006</c:v>
                </c:pt>
                <c:pt idx="154">
                  <c:v>720733.07550490042</c:v>
                </c:pt>
                <c:pt idx="155">
                  <c:v>697243.23357043194</c:v>
                </c:pt>
                <c:pt idx="156">
                  <c:v>717494.54010345333</c:v>
                </c:pt>
                <c:pt idx="157">
                  <c:v>627334.68794953846</c:v>
                </c:pt>
                <c:pt idx="158">
                  <c:v>694517.23638387164</c:v>
                </c:pt>
                <c:pt idx="159">
                  <c:v>550290.55496469093</c:v>
                </c:pt>
                <c:pt idx="160">
                  <c:v>688921.05880561785</c:v>
                </c:pt>
                <c:pt idx="161">
                  <c:v>693857.85063246195</c:v>
                </c:pt>
                <c:pt idx="162">
                  <c:v>724557.76735109987</c:v>
                </c:pt>
                <c:pt idx="163">
                  <c:v>679577.10421045334</c:v>
                </c:pt>
                <c:pt idx="164">
                  <c:v>789138.88096847199</c:v>
                </c:pt>
                <c:pt idx="165">
                  <c:v>732728.94583282038</c:v>
                </c:pt>
                <c:pt idx="166">
                  <c:v>668023.78373269131</c:v>
                </c:pt>
                <c:pt idx="167">
                  <c:v>802905.81554500281</c:v>
                </c:pt>
                <c:pt idx="168">
                  <c:v>779960.91330591124</c:v>
                </c:pt>
                <c:pt idx="169">
                  <c:v>690045.55139960302</c:v>
                </c:pt>
                <c:pt idx="170">
                  <c:v>751178.35697839176</c:v>
                </c:pt>
                <c:pt idx="171">
                  <c:v>695788.72942324483</c:v>
                </c:pt>
                <c:pt idx="172">
                  <c:v>760455.75661552337</c:v>
                </c:pt>
                <c:pt idx="173">
                  <c:v>765161.26452445926</c:v>
                </c:pt>
                <c:pt idx="174">
                  <c:v>802834.58515667228</c:v>
                </c:pt>
                <c:pt idx="175">
                  <c:v>813477.3063287884</c:v>
                </c:pt>
                <c:pt idx="176">
                  <c:v>894228.89010214154</c:v>
                </c:pt>
                <c:pt idx="177">
                  <c:v>690906.21099330334</c:v>
                </c:pt>
                <c:pt idx="178">
                  <c:v>747269.63575476222</c:v>
                </c:pt>
                <c:pt idx="179">
                  <c:v>826330.02505674225</c:v>
                </c:pt>
                <c:pt idx="180">
                  <c:v>858908.17544813047</c:v>
                </c:pt>
                <c:pt idx="181">
                  <c:v>757602.27351468289</c:v>
                </c:pt>
                <c:pt idx="182">
                  <c:v>797764.20759947679</c:v>
                </c:pt>
                <c:pt idx="183">
                  <c:v>827029.11772628874</c:v>
                </c:pt>
                <c:pt idx="184">
                  <c:v>687915.85052306694</c:v>
                </c:pt>
                <c:pt idx="185">
                  <c:v>635416.76818881452</c:v>
                </c:pt>
                <c:pt idx="186">
                  <c:v>675884.89831018797</c:v>
                </c:pt>
                <c:pt idx="187">
                  <c:v>748846.43274083571</c:v>
                </c:pt>
                <c:pt idx="188">
                  <c:v>606204.75822694332</c:v>
                </c:pt>
                <c:pt idx="189">
                  <c:v>543141.00051998615</c:v>
                </c:pt>
                <c:pt idx="190">
                  <c:v>469844.33592189342</c:v>
                </c:pt>
                <c:pt idx="191">
                  <c:v>601560.06467992801</c:v>
                </c:pt>
                <c:pt idx="192">
                  <c:v>692560.73396348266</c:v>
                </c:pt>
                <c:pt idx="193">
                  <c:v>624815.52161674958</c:v>
                </c:pt>
                <c:pt idx="194">
                  <c:v>572130.36258772714</c:v>
                </c:pt>
                <c:pt idx="195">
                  <c:v>539551.72412476572</c:v>
                </c:pt>
                <c:pt idx="196">
                  <c:v>648157.61239706329</c:v>
                </c:pt>
                <c:pt idx="197">
                  <c:v>614118.95915334567</c:v>
                </c:pt>
                <c:pt idx="198">
                  <c:v>613399.634160463</c:v>
                </c:pt>
                <c:pt idx="199">
                  <c:v>648531.77706220793</c:v>
                </c:pt>
                <c:pt idx="200">
                  <c:v>621711.51976274583</c:v>
                </c:pt>
                <c:pt idx="201">
                  <c:v>696760.22370832425</c:v>
                </c:pt>
                <c:pt idx="202">
                  <c:v>675896.36402022222</c:v>
                </c:pt>
                <c:pt idx="203">
                  <c:v>670482.2694377047</c:v>
                </c:pt>
                <c:pt idx="204">
                  <c:v>823120.393193483</c:v>
                </c:pt>
                <c:pt idx="205">
                  <c:v>723555.82872879936</c:v>
                </c:pt>
                <c:pt idx="206">
                  <c:v>748608.48286144377</c:v>
                </c:pt>
                <c:pt idx="207">
                  <c:v>739481.40585015505</c:v>
                </c:pt>
                <c:pt idx="208">
                  <c:v>810185.46360147628</c:v>
                </c:pt>
                <c:pt idx="209">
                  <c:v>780660.48684842919</c:v>
                </c:pt>
                <c:pt idx="210">
                  <c:v>958438.28698671446</c:v>
                </c:pt>
                <c:pt idx="211">
                  <c:v>782198.03430234909</c:v>
                </c:pt>
                <c:pt idx="212">
                  <c:v>775767.90042674937</c:v>
                </c:pt>
                <c:pt idx="213">
                  <c:v>757168.03064839554</c:v>
                </c:pt>
                <c:pt idx="214">
                  <c:v>770961.2142002011</c:v>
                </c:pt>
                <c:pt idx="215">
                  <c:v>824451.42166050419</c:v>
                </c:pt>
                <c:pt idx="216">
                  <c:v>656862.03774729953</c:v>
                </c:pt>
                <c:pt idx="217">
                  <c:v>593750.99745248479</c:v>
                </c:pt>
                <c:pt idx="218">
                  <c:v>604889.76305588474</c:v>
                </c:pt>
                <c:pt idx="219">
                  <c:v>572792.07601229975</c:v>
                </c:pt>
                <c:pt idx="220">
                  <c:v>699452.86765290902</c:v>
                </c:pt>
                <c:pt idx="221">
                  <c:v>678902.57347481058</c:v>
                </c:pt>
                <c:pt idx="222">
                  <c:v>737196.34944668179</c:v>
                </c:pt>
                <c:pt idx="223">
                  <c:v>781764.62422442634</c:v>
                </c:pt>
                <c:pt idx="224">
                  <c:v>625144.44373897475</c:v>
                </c:pt>
                <c:pt idx="225">
                  <c:v>557712.41118736111</c:v>
                </c:pt>
                <c:pt idx="226">
                  <c:v>570861.31000628683</c:v>
                </c:pt>
                <c:pt idx="227">
                  <c:v>490072.03176239127</c:v>
                </c:pt>
                <c:pt idx="228">
                  <c:v>643337.8390515385</c:v>
                </c:pt>
                <c:pt idx="229">
                  <c:v>818496.03165007988</c:v>
                </c:pt>
                <c:pt idx="230">
                  <c:v>649631.50141536375</c:v>
                </c:pt>
                <c:pt idx="231">
                  <c:v>619935.64856642007</c:v>
                </c:pt>
                <c:pt idx="232">
                  <c:v>597951.69799367734</c:v>
                </c:pt>
                <c:pt idx="233">
                  <c:v>644543.89151204086</c:v>
                </c:pt>
                <c:pt idx="234">
                  <c:v>657843.33414926729</c:v>
                </c:pt>
                <c:pt idx="235">
                  <c:v>658137.94679863297</c:v>
                </c:pt>
                <c:pt idx="236">
                  <c:v>781649.71712326596</c:v>
                </c:pt>
                <c:pt idx="237">
                  <c:v>815775.21086039394</c:v>
                </c:pt>
                <c:pt idx="238">
                  <c:v>781779.38441428298</c:v>
                </c:pt>
                <c:pt idx="239">
                  <c:v>733118.83187125181</c:v>
                </c:pt>
                <c:pt idx="240">
                  <c:v>731665.45568281878</c:v>
                </c:pt>
                <c:pt idx="241">
                  <c:v>650349.96772853832</c:v>
                </c:pt>
                <c:pt idx="242">
                  <c:v>811918.35845141532</c:v>
                </c:pt>
                <c:pt idx="243">
                  <c:v>736566.99475477391</c:v>
                </c:pt>
                <c:pt idx="244">
                  <c:v>786627.70108776761</c:v>
                </c:pt>
                <c:pt idx="245">
                  <c:v>754817.02692996245</c:v>
                </c:pt>
                <c:pt idx="246">
                  <c:v>701064.68065494066</c:v>
                </c:pt>
                <c:pt idx="247">
                  <c:v>684097.90305379964</c:v>
                </c:pt>
                <c:pt idx="248">
                  <c:v>571951.74652953132</c:v>
                </c:pt>
                <c:pt idx="249">
                  <c:v>682441.29505928315</c:v>
                </c:pt>
                <c:pt idx="250">
                  <c:v>640117.59736133472</c:v>
                </c:pt>
                <c:pt idx="251">
                  <c:v>740711.70623059338</c:v>
                </c:pt>
                <c:pt idx="252">
                  <c:v>723006.77183124656</c:v>
                </c:pt>
                <c:pt idx="253">
                  <c:v>702806.55418291385</c:v>
                </c:pt>
                <c:pt idx="254">
                  <c:v>676757.46870179777</c:v>
                </c:pt>
                <c:pt idx="255">
                  <c:v>642802.85239896912</c:v>
                </c:pt>
                <c:pt idx="256">
                  <c:v>750637.56305120292</c:v>
                </c:pt>
                <c:pt idx="257">
                  <c:v>683946.79219456192</c:v>
                </c:pt>
                <c:pt idx="258">
                  <c:v>734386.94874923991</c:v>
                </c:pt>
                <c:pt idx="259">
                  <c:v>713233.32204770308</c:v>
                </c:pt>
                <c:pt idx="260">
                  <c:v>514385.23105076078</c:v>
                </c:pt>
                <c:pt idx="261">
                  <c:v>601975.95007775049</c:v>
                </c:pt>
                <c:pt idx="262">
                  <c:v>622565.60003430548</c:v>
                </c:pt>
                <c:pt idx="263">
                  <c:v>589552.37038637383</c:v>
                </c:pt>
                <c:pt idx="264">
                  <c:v>711523.77769299841</c:v>
                </c:pt>
                <c:pt idx="265">
                  <c:v>744392.92070327303</c:v>
                </c:pt>
                <c:pt idx="266">
                  <c:v>723685.43270540331</c:v>
                </c:pt>
                <c:pt idx="267">
                  <c:v>724623.86995642749</c:v>
                </c:pt>
                <c:pt idx="268">
                  <c:v>723322.78758485196</c:v>
                </c:pt>
                <c:pt idx="269">
                  <c:v>691238.84154675831</c:v>
                </c:pt>
                <c:pt idx="270">
                  <c:v>801779.81888193451</c:v>
                </c:pt>
                <c:pt idx="271">
                  <c:v>680684.36595990846</c:v>
                </c:pt>
                <c:pt idx="272">
                  <c:v>650939.55684469535</c:v>
                </c:pt>
                <c:pt idx="273">
                  <c:v>525563.14631629991</c:v>
                </c:pt>
                <c:pt idx="274">
                  <c:v>642369.59342694015</c:v>
                </c:pt>
                <c:pt idx="275">
                  <c:v>626601.34619293839</c:v>
                </c:pt>
                <c:pt idx="276">
                  <c:v>753036.14822009613</c:v>
                </c:pt>
                <c:pt idx="277">
                  <c:v>717622.79818639765</c:v>
                </c:pt>
                <c:pt idx="278">
                  <c:v>756257.7182090003</c:v>
                </c:pt>
                <c:pt idx="279">
                  <c:v>792118.07335520559</c:v>
                </c:pt>
                <c:pt idx="280">
                  <c:v>588373.00325924356</c:v>
                </c:pt>
                <c:pt idx="281">
                  <c:v>588546.73177163955</c:v>
                </c:pt>
                <c:pt idx="282">
                  <c:v>668768.17562808364</c:v>
                </c:pt>
                <c:pt idx="283">
                  <c:v>519473.37612025469</c:v>
                </c:pt>
                <c:pt idx="284">
                  <c:v>661396.39235302049</c:v>
                </c:pt>
                <c:pt idx="285">
                  <c:v>629872.53899886366</c:v>
                </c:pt>
                <c:pt idx="286">
                  <c:v>593536.81135356112</c:v>
                </c:pt>
                <c:pt idx="287">
                  <c:v>575776.2734789059</c:v>
                </c:pt>
                <c:pt idx="288">
                  <c:v>746884.35082518519</c:v>
                </c:pt>
                <c:pt idx="289">
                  <c:v>721532.75407625013</c:v>
                </c:pt>
                <c:pt idx="290">
                  <c:v>747233.33487552626</c:v>
                </c:pt>
                <c:pt idx="291">
                  <c:v>706299.70252680127</c:v>
                </c:pt>
                <c:pt idx="292">
                  <c:v>586492.40084741137</c:v>
                </c:pt>
                <c:pt idx="293">
                  <c:v>521560.91265697085</c:v>
                </c:pt>
                <c:pt idx="294">
                  <c:v>497553.51968560647</c:v>
                </c:pt>
                <c:pt idx="295">
                  <c:v>481318.38071780652</c:v>
                </c:pt>
                <c:pt idx="296">
                  <c:v>665017.06357538502</c:v>
                </c:pt>
                <c:pt idx="297">
                  <c:v>659230.93100195203</c:v>
                </c:pt>
                <c:pt idx="298">
                  <c:v>613987.51811189053</c:v>
                </c:pt>
                <c:pt idx="299">
                  <c:v>473961.75006543595</c:v>
                </c:pt>
                <c:pt idx="300">
                  <c:v>719150.64029943664</c:v>
                </c:pt>
                <c:pt idx="301">
                  <c:v>742620.9579261007</c:v>
                </c:pt>
                <c:pt idx="302">
                  <c:v>733704.40401821979</c:v>
                </c:pt>
                <c:pt idx="303">
                  <c:v>702004.27839116089</c:v>
                </c:pt>
                <c:pt idx="304">
                  <c:v>672563.27410002123</c:v>
                </c:pt>
                <c:pt idx="305">
                  <c:v>650295.04839782824</c:v>
                </c:pt>
                <c:pt idx="306">
                  <c:v>631342.27966152376</c:v>
                </c:pt>
                <c:pt idx="307">
                  <c:v>684132.41951882164</c:v>
                </c:pt>
                <c:pt idx="308">
                  <c:v>641863.5994153854</c:v>
                </c:pt>
                <c:pt idx="309">
                  <c:v>596898.84328688146</c:v>
                </c:pt>
                <c:pt idx="310">
                  <c:v>633473.48430645303</c:v>
                </c:pt>
                <c:pt idx="311">
                  <c:v>742930.90362888249</c:v>
                </c:pt>
                <c:pt idx="312">
                  <c:v>703064.55662899965</c:v>
                </c:pt>
                <c:pt idx="313">
                  <c:v>712955.39769835561</c:v>
                </c:pt>
                <c:pt idx="314">
                  <c:v>672770.11795317859</c:v>
                </c:pt>
                <c:pt idx="315">
                  <c:v>808672.49402639235</c:v>
                </c:pt>
                <c:pt idx="316">
                  <c:v>667793.96225007321</c:v>
                </c:pt>
                <c:pt idx="317">
                  <c:v>551251.08089890471</c:v>
                </c:pt>
                <c:pt idx="318">
                  <c:v>741695.48227439425</c:v>
                </c:pt>
                <c:pt idx="319">
                  <c:v>617147.47982416314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E4-F64C-83E5-BFA8CC0B5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885312"/>
        <c:axId val="2014887024"/>
      </c:scatterChart>
      <c:valAx>
        <c:axId val="201488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887024"/>
        <c:crosses val="autoZero"/>
        <c:crossBetween val="midCat"/>
      </c:valAx>
      <c:valAx>
        <c:axId val="201488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885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'Multiple Regression'!$G$2:$G$321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dummy_variable!$M$2:$M$321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E-6E4C-83EE-F661930FC544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'Multiple Regression'!$G$2:$G$321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'Multiple Regression'!$Y$34:$Y$353</c:f>
              <c:numCache>
                <c:formatCode>General</c:formatCode>
                <c:ptCount val="320"/>
                <c:pt idx="0">
                  <c:v>761800.2357142336</c:v>
                </c:pt>
                <c:pt idx="1">
                  <c:v>726823.80352143536</c:v>
                </c:pt>
                <c:pt idx="2">
                  <c:v>769070.39296786638</c:v>
                </c:pt>
                <c:pt idx="3">
                  <c:v>775471.15195994591</c:v>
                </c:pt>
                <c:pt idx="4">
                  <c:v>761838.80182487844</c:v>
                </c:pt>
                <c:pt idx="5">
                  <c:v>799213.44401424867</c:v>
                </c:pt>
                <c:pt idx="6">
                  <c:v>804973.36656135763</c:v>
                </c:pt>
                <c:pt idx="7">
                  <c:v>760579.46111643268</c:v>
                </c:pt>
                <c:pt idx="8">
                  <c:v>839122.97620610567</c:v>
                </c:pt>
                <c:pt idx="9">
                  <c:v>783552.53400812368</c:v>
                </c:pt>
                <c:pt idx="10">
                  <c:v>736395.84591749916</c:v>
                </c:pt>
                <c:pt idx="11">
                  <c:v>862172.2051033536</c:v>
                </c:pt>
                <c:pt idx="12">
                  <c:v>906751.87738530547</c:v>
                </c:pt>
                <c:pt idx="13">
                  <c:v>794711.19444486336</c:v>
                </c:pt>
                <c:pt idx="14">
                  <c:v>753281.3514456976</c:v>
                </c:pt>
                <c:pt idx="15">
                  <c:v>858972.53446940111</c:v>
                </c:pt>
                <c:pt idx="16">
                  <c:v>699033.51028207922</c:v>
                </c:pt>
                <c:pt idx="17">
                  <c:v>606850.32812692062</c:v>
                </c:pt>
                <c:pt idx="18">
                  <c:v>682418.34893507068</c:v>
                </c:pt>
                <c:pt idx="19">
                  <c:v>603623.44740455621</c:v>
                </c:pt>
                <c:pt idx="20">
                  <c:v>517523.18923537963</c:v>
                </c:pt>
                <c:pt idx="21">
                  <c:v>502495.44007809501</c:v>
                </c:pt>
                <c:pt idx="22">
                  <c:v>555447.61013952433</c:v>
                </c:pt>
                <c:pt idx="23">
                  <c:v>547598.82441293076</c:v>
                </c:pt>
                <c:pt idx="24">
                  <c:v>804668.77643318055</c:v>
                </c:pt>
                <c:pt idx="25">
                  <c:v>889039.36292144214</c:v>
                </c:pt>
                <c:pt idx="26">
                  <c:v>767388.0790518776</c:v>
                </c:pt>
                <c:pt idx="27">
                  <c:v>698577.23642136122</c:v>
                </c:pt>
                <c:pt idx="28">
                  <c:v>607878.17724350502</c:v>
                </c:pt>
                <c:pt idx="29">
                  <c:v>540000.69037001394</c:v>
                </c:pt>
                <c:pt idx="30">
                  <c:v>529320.40577941353</c:v>
                </c:pt>
                <c:pt idx="31">
                  <c:v>504203.16248342994</c:v>
                </c:pt>
                <c:pt idx="32">
                  <c:v>770139.22784534784</c:v>
                </c:pt>
                <c:pt idx="33">
                  <c:v>878226.50031760894</c:v>
                </c:pt>
                <c:pt idx="34">
                  <c:v>806432.44453818083</c:v>
                </c:pt>
                <c:pt idx="35">
                  <c:v>796818.8339149229</c:v>
                </c:pt>
                <c:pt idx="36">
                  <c:v>782193.62809675792</c:v>
                </c:pt>
                <c:pt idx="37">
                  <c:v>737818.03873692348</c:v>
                </c:pt>
                <c:pt idx="38">
                  <c:v>750394.98707073811</c:v>
                </c:pt>
                <c:pt idx="39">
                  <c:v>796726.53330956178</c:v>
                </c:pt>
                <c:pt idx="40">
                  <c:v>556782.23638429516</c:v>
                </c:pt>
                <c:pt idx="41">
                  <c:v>555336.75875122438</c:v>
                </c:pt>
                <c:pt idx="42">
                  <c:v>585882.65290090884</c:v>
                </c:pt>
                <c:pt idx="43">
                  <c:v>601448.46072989609</c:v>
                </c:pt>
                <c:pt idx="44">
                  <c:v>731569.8519977415</c:v>
                </c:pt>
                <c:pt idx="45">
                  <c:v>608200.31107214605</c:v>
                </c:pt>
                <c:pt idx="46">
                  <c:v>581770.00515633717</c:v>
                </c:pt>
                <c:pt idx="47">
                  <c:v>578113.19297493261</c:v>
                </c:pt>
                <c:pt idx="48">
                  <c:v>623226.68920045486</c:v>
                </c:pt>
                <c:pt idx="49">
                  <c:v>632240.49622935988</c:v>
                </c:pt>
                <c:pt idx="50">
                  <c:v>635647.49185678782</c:v>
                </c:pt>
                <c:pt idx="51">
                  <c:v>719440.41930099169</c:v>
                </c:pt>
                <c:pt idx="52">
                  <c:v>569841.23169364699</c:v>
                </c:pt>
                <c:pt idx="53">
                  <c:v>694485.38681705634</c:v>
                </c:pt>
                <c:pt idx="54">
                  <c:v>674897.70809636801</c:v>
                </c:pt>
                <c:pt idx="55">
                  <c:v>528103.15514020121</c:v>
                </c:pt>
                <c:pt idx="56">
                  <c:v>509458.8326143857</c:v>
                </c:pt>
                <c:pt idx="57">
                  <c:v>555716.74300885655</c:v>
                </c:pt>
                <c:pt idx="58">
                  <c:v>664579.10259470681</c:v>
                </c:pt>
                <c:pt idx="59">
                  <c:v>606126.76016147586</c:v>
                </c:pt>
                <c:pt idx="60">
                  <c:v>664692.48030474735</c:v>
                </c:pt>
                <c:pt idx="61">
                  <c:v>575018.01073485031</c:v>
                </c:pt>
                <c:pt idx="62">
                  <c:v>583481.94477141998</c:v>
                </c:pt>
                <c:pt idx="63">
                  <c:v>709500.52251573</c:v>
                </c:pt>
                <c:pt idx="64">
                  <c:v>784873.98042679613</c:v>
                </c:pt>
                <c:pt idx="65">
                  <c:v>717812.79134865908</c:v>
                </c:pt>
                <c:pt idx="66">
                  <c:v>810994.78287815105</c:v>
                </c:pt>
                <c:pt idx="67">
                  <c:v>723106.28244786826</c:v>
                </c:pt>
                <c:pt idx="68">
                  <c:v>595824.6024713146</c:v>
                </c:pt>
                <c:pt idx="69">
                  <c:v>527388.759222692</c:v>
                </c:pt>
                <c:pt idx="70">
                  <c:v>565672.40574079135</c:v>
                </c:pt>
                <c:pt idx="71">
                  <c:v>650656.75905812986</c:v>
                </c:pt>
                <c:pt idx="72">
                  <c:v>633676.04109209729</c:v>
                </c:pt>
                <c:pt idx="73">
                  <c:v>691276.23939183634</c:v>
                </c:pt>
                <c:pt idx="74">
                  <c:v>699258.91283686494</c:v>
                </c:pt>
                <c:pt idx="75">
                  <c:v>732650.19316887658</c:v>
                </c:pt>
                <c:pt idx="76">
                  <c:v>686535.41862681031</c:v>
                </c:pt>
                <c:pt idx="77">
                  <c:v>663913.97339053103</c:v>
                </c:pt>
                <c:pt idx="78">
                  <c:v>733795.08735294873</c:v>
                </c:pt>
                <c:pt idx="79">
                  <c:v>673631.62515207252</c:v>
                </c:pt>
                <c:pt idx="80">
                  <c:v>641934.67763094511</c:v>
                </c:pt>
                <c:pt idx="81">
                  <c:v>616994.00117289869</c:v>
                </c:pt>
                <c:pt idx="82">
                  <c:v>638088.34420019609</c:v>
                </c:pt>
                <c:pt idx="83">
                  <c:v>565660.06639544654</c:v>
                </c:pt>
                <c:pt idx="84">
                  <c:v>564342.88301705685</c:v>
                </c:pt>
                <c:pt idx="85">
                  <c:v>623476.43244029605</c:v>
                </c:pt>
                <c:pt idx="86">
                  <c:v>617827.19936171197</c:v>
                </c:pt>
                <c:pt idx="87">
                  <c:v>458644.74563212355</c:v>
                </c:pt>
                <c:pt idx="88">
                  <c:v>697720.12468882394</c:v>
                </c:pt>
                <c:pt idx="89">
                  <c:v>747333.37845070811</c:v>
                </c:pt>
                <c:pt idx="90">
                  <c:v>697639.42139524082</c:v>
                </c:pt>
                <c:pt idx="91">
                  <c:v>563321.32756371086</c:v>
                </c:pt>
                <c:pt idx="92">
                  <c:v>585691.28516037692</c:v>
                </c:pt>
                <c:pt idx="93">
                  <c:v>701048.32539094368</c:v>
                </c:pt>
                <c:pt idx="94">
                  <c:v>765984.54502858943</c:v>
                </c:pt>
                <c:pt idx="95">
                  <c:v>615091.78840116784</c:v>
                </c:pt>
                <c:pt idx="96">
                  <c:v>676625.5758036382</c:v>
                </c:pt>
                <c:pt idx="97">
                  <c:v>654179.71586391144</c:v>
                </c:pt>
                <c:pt idx="98">
                  <c:v>602862.09920586599</c:v>
                </c:pt>
                <c:pt idx="99">
                  <c:v>630203.10237774451</c:v>
                </c:pt>
                <c:pt idx="100">
                  <c:v>576470.50696763047</c:v>
                </c:pt>
                <c:pt idx="101">
                  <c:v>610214.98775794986</c:v>
                </c:pt>
                <c:pt idx="102">
                  <c:v>721986.64215541992</c:v>
                </c:pt>
                <c:pt idx="103">
                  <c:v>518079.68913128268</c:v>
                </c:pt>
                <c:pt idx="104">
                  <c:v>711199.1452325111</c:v>
                </c:pt>
                <c:pt idx="105">
                  <c:v>780036.47198897274</c:v>
                </c:pt>
                <c:pt idx="106">
                  <c:v>702908.55619742454</c:v>
                </c:pt>
                <c:pt idx="107">
                  <c:v>676583.56635217962</c:v>
                </c:pt>
                <c:pt idx="108">
                  <c:v>712568.02598169644</c:v>
                </c:pt>
                <c:pt idx="109">
                  <c:v>644261.42871135951</c:v>
                </c:pt>
                <c:pt idx="110">
                  <c:v>648131.55015012482</c:v>
                </c:pt>
                <c:pt idx="111">
                  <c:v>598503.21613818372</c:v>
                </c:pt>
                <c:pt idx="112">
                  <c:v>762273.60625253082</c:v>
                </c:pt>
                <c:pt idx="113">
                  <c:v>803706.20448907069</c:v>
                </c:pt>
                <c:pt idx="114">
                  <c:v>740837.02182401868</c:v>
                </c:pt>
                <c:pt idx="115">
                  <c:v>734839.39280493045</c:v>
                </c:pt>
                <c:pt idx="116">
                  <c:v>702378.86154929257</c:v>
                </c:pt>
                <c:pt idx="117">
                  <c:v>741819.07211394899</c:v>
                </c:pt>
                <c:pt idx="118">
                  <c:v>729189.2813617799</c:v>
                </c:pt>
                <c:pt idx="119">
                  <c:v>711188.95556235407</c:v>
                </c:pt>
                <c:pt idx="120">
                  <c:v>580092.25968351332</c:v>
                </c:pt>
                <c:pt idx="121">
                  <c:v>626743.40275213425</c:v>
                </c:pt>
                <c:pt idx="122">
                  <c:v>605964.49657718465</c:v>
                </c:pt>
                <c:pt idx="123">
                  <c:v>475426.22652680677</c:v>
                </c:pt>
                <c:pt idx="124">
                  <c:v>814791.05313869461</c:v>
                </c:pt>
                <c:pt idx="125">
                  <c:v>813924.71182143141</c:v>
                </c:pt>
                <c:pt idx="126">
                  <c:v>774355.61271347688</c:v>
                </c:pt>
                <c:pt idx="127">
                  <c:v>717562.34884886583</c:v>
                </c:pt>
                <c:pt idx="128">
                  <c:v>825847.71873844648</c:v>
                </c:pt>
                <c:pt idx="129">
                  <c:v>821751.86584348278</c:v>
                </c:pt>
                <c:pt idx="130">
                  <c:v>774693.32048987318</c:v>
                </c:pt>
                <c:pt idx="131">
                  <c:v>838110.48666574759</c:v>
                </c:pt>
                <c:pt idx="132">
                  <c:v>583486.43841171206</c:v>
                </c:pt>
                <c:pt idx="133">
                  <c:v>477516.83754798403</c:v>
                </c:pt>
                <c:pt idx="134">
                  <c:v>581852.09075220372</c:v>
                </c:pt>
                <c:pt idx="135">
                  <c:v>538207.6618849861</c:v>
                </c:pt>
                <c:pt idx="136">
                  <c:v>748439.23174097273</c:v>
                </c:pt>
                <c:pt idx="137">
                  <c:v>694844.26038866281</c:v>
                </c:pt>
                <c:pt idx="138">
                  <c:v>692382.49147846899</c:v>
                </c:pt>
                <c:pt idx="139">
                  <c:v>624272.07236387709</c:v>
                </c:pt>
                <c:pt idx="140">
                  <c:v>660464.77467725659</c:v>
                </c:pt>
                <c:pt idx="141">
                  <c:v>680767.63057225768</c:v>
                </c:pt>
                <c:pt idx="142">
                  <c:v>640623.91757593758</c:v>
                </c:pt>
                <c:pt idx="143">
                  <c:v>652381.84087266936</c:v>
                </c:pt>
                <c:pt idx="144">
                  <c:v>618236.92042710795</c:v>
                </c:pt>
                <c:pt idx="145">
                  <c:v>566998.87904103671</c:v>
                </c:pt>
                <c:pt idx="146">
                  <c:v>598299.33324024337</c:v>
                </c:pt>
                <c:pt idx="147">
                  <c:v>579969.19322933035</c:v>
                </c:pt>
                <c:pt idx="148">
                  <c:v>640495.28923369781</c:v>
                </c:pt>
                <c:pt idx="149">
                  <c:v>672413.91626546707</c:v>
                </c:pt>
                <c:pt idx="150">
                  <c:v>638125.07367090986</c:v>
                </c:pt>
                <c:pt idx="151">
                  <c:v>669494.96536704223</c:v>
                </c:pt>
                <c:pt idx="152">
                  <c:v>796597.64673841826</c:v>
                </c:pt>
                <c:pt idx="153">
                  <c:v>691343.77187487006</c:v>
                </c:pt>
                <c:pt idx="154">
                  <c:v>720733.07550490042</c:v>
                </c:pt>
                <c:pt idx="155">
                  <c:v>697243.23357043194</c:v>
                </c:pt>
                <c:pt idx="156">
                  <c:v>717494.54010345333</c:v>
                </c:pt>
                <c:pt idx="157">
                  <c:v>627334.68794953846</c:v>
                </c:pt>
                <c:pt idx="158">
                  <c:v>694517.23638387164</c:v>
                </c:pt>
                <c:pt idx="159">
                  <c:v>550290.55496469093</c:v>
                </c:pt>
                <c:pt idx="160">
                  <c:v>688921.05880561785</c:v>
                </c:pt>
                <c:pt idx="161">
                  <c:v>693857.85063246195</c:v>
                </c:pt>
                <c:pt idx="162">
                  <c:v>724557.76735109987</c:v>
                </c:pt>
                <c:pt idx="163">
                  <c:v>679577.10421045334</c:v>
                </c:pt>
                <c:pt idx="164">
                  <c:v>789138.88096847199</c:v>
                </c:pt>
                <c:pt idx="165">
                  <c:v>732728.94583282038</c:v>
                </c:pt>
                <c:pt idx="166">
                  <c:v>668023.78373269131</c:v>
                </c:pt>
                <c:pt idx="167">
                  <c:v>802905.81554500281</c:v>
                </c:pt>
                <c:pt idx="168">
                  <c:v>779960.91330591124</c:v>
                </c:pt>
                <c:pt idx="169">
                  <c:v>690045.55139960302</c:v>
                </c:pt>
                <c:pt idx="170">
                  <c:v>751178.35697839176</c:v>
                </c:pt>
                <c:pt idx="171">
                  <c:v>695788.72942324483</c:v>
                </c:pt>
                <c:pt idx="172">
                  <c:v>760455.75661552337</c:v>
                </c:pt>
                <c:pt idx="173">
                  <c:v>765161.26452445926</c:v>
                </c:pt>
                <c:pt idx="174">
                  <c:v>802834.58515667228</c:v>
                </c:pt>
                <c:pt idx="175">
                  <c:v>813477.3063287884</c:v>
                </c:pt>
                <c:pt idx="176">
                  <c:v>894228.89010214154</c:v>
                </c:pt>
                <c:pt idx="177">
                  <c:v>690906.21099330334</c:v>
                </c:pt>
                <c:pt idx="178">
                  <c:v>747269.63575476222</c:v>
                </c:pt>
                <c:pt idx="179">
                  <c:v>826330.02505674225</c:v>
                </c:pt>
                <c:pt idx="180">
                  <c:v>858908.17544813047</c:v>
                </c:pt>
                <c:pt idx="181">
                  <c:v>757602.27351468289</c:v>
                </c:pt>
                <c:pt idx="182">
                  <c:v>797764.20759947679</c:v>
                </c:pt>
                <c:pt idx="183">
                  <c:v>827029.11772628874</c:v>
                </c:pt>
                <c:pt idx="184">
                  <c:v>687915.85052306694</c:v>
                </c:pt>
                <c:pt idx="185">
                  <c:v>635416.76818881452</c:v>
                </c:pt>
                <c:pt idx="186">
                  <c:v>675884.89831018797</c:v>
                </c:pt>
                <c:pt idx="187">
                  <c:v>748846.43274083571</c:v>
                </c:pt>
                <c:pt idx="188">
                  <c:v>606204.75822694332</c:v>
                </c:pt>
                <c:pt idx="189">
                  <c:v>543141.00051998615</c:v>
                </c:pt>
                <c:pt idx="190">
                  <c:v>469844.33592189342</c:v>
                </c:pt>
                <c:pt idx="191">
                  <c:v>601560.06467992801</c:v>
                </c:pt>
                <c:pt idx="192">
                  <c:v>692560.73396348266</c:v>
                </c:pt>
                <c:pt idx="193">
                  <c:v>624815.52161674958</c:v>
                </c:pt>
                <c:pt idx="194">
                  <c:v>572130.36258772714</c:v>
                </c:pt>
                <c:pt idx="195">
                  <c:v>539551.72412476572</c:v>
                </c:pt>
                <c:pt idx="196">
                  <c:v>648157.61239706329</c:v>
                </c:pt>
                <c:pt idx="197">
                  <c:v>614118.95915334567</c:v>
                </c:pt>
                <c:pt idx="198">
                  <c:v>613399.634160463</c:v>
                </c:pt>
                <c:pt idx="199">
                  <c:v>648531.77706220793</c:v>
                </c:pt>
                <c:pt idx="200">
                  <c:v>621711.51976274583</c:v>
                </c:pt>
                <c:pt idx="201">
                  <c:v>696760.22370832425</c:v>
                </c:pt>
                <c:pt idx="202">
                  <c:v>675896.36402022222</c:v>
                </c:pt>
                <c:pt idx="203">
                  <c:v>670482.2694377047</c:v>
                </c:pt>
                <c:pt idx="204">
                  <c:v>823120.393193483</c:v>
                </c:pt>
                <c:pt idx="205">
                  <c:v>723555.82872879936</c:v>
                </c:pt>
                <c:pt idx="206">
                  <c:v>748608.48286144377</c:v>
                </c:pt>
                <c:pt idx="207">
                  <c:v>739481.40585015505</c:v>
                </c:pt>
                <c:pt idx="208">
                  <c:v>810185.46360147628</c:v>
                </c:pt>
                <c:pt idx="209">
                  <c:v>780660.48684842919</c:v>
                </c:pt>
                <c:pt idx="210">
                  <c:v>958438.28698671446</c:v>
                </c:pt>
                <c:pt idx="211">
                  <c:v>782198.03430234909</c:v>
                </c:pt>
                <c:pt idx="212">
                  <c:v>775767.90042674937</c:v>
                </c:pt>
                <c:pt idx="213">
                  <c:v>757168.03064839554</c:v>
                </c:pt>
                <c:pt idx="214">
                  <c:v>770961.2142002011</c:v>
                </c:pt>
                <c:pt idx="215">
                  <c:v>824451.42166050419</c:v>
                </c:pt>
                <c:pt idx="216">
                  <c:v>656862.03774729953</c:v>
                </c:pt>
                <c:pt idx="217">
                  <c:v>593750.99745248479</c:v>
                </c:pt>
                <c:pt idx="218">
                  <c:v>604889.76305588474</c:v>
                </c:pt>
                <c:pt idx="219">
                  <c:v>572792.07601229975</c:v>
                </c:pt>
                <c:pt idx="220">
                  <c:v>699452.86765290902</c:v>
                </c:pt>
                <c:pt idx="221">
                  <c:v>678902.57347481058</c:v>
                </c:pt>
                <c:pt idx="222">
                  <c:v>737196.34944668179</c:v>
                </c:pt>
                <c:pt idx="223">
                  <c:v>781764.62422442634</c:v>
                </c:pt>
                <c:pt idx="224">
                  <c:v>625144.44373897475</c:v>
                </c:pt>
                <c:pt idx="225">
                  <c:v>557712.41118736111</c:v>
                </c:pt>
                <c:pt idx="226">
                  <c:v>570861.31000628683</c:v>
                </c:pt>
                <c:pt idx="227">
                  <c:v>490072.03176239127</c:v>
                </c:pt>
                <c:pt idx="228">
                  <c:v>643337.8390515385</c:v>
                </c:pt>
                <c:pt idx="229">
                  <c:v>818496.03165007988</c:v>
                </c:pt>
                <c:pt idx="230">
                  <c:v>649631.50141536375</c:v>
                </c:pt>
                <c:pt idx="231">
                  <c:v>619935.64856642007</c:v>
                </c:pt>
                <c:pt idx="232">
                  <c:v>597951.69799367734</c:v>
                </c:pt>
                <c:pt idx="233">
                  <c:v>644543.89151204086</c:v>
                </c:pt>
                <c:pt idx="234">
                  <c:v>657843.33414926729</c:v>
                </c:pt>
                <c:pt idx="235">
                  <c:v>658137.94679863297</c:v>
                </c:pt>
                <c:pt idx="236">
                  <c:v>781649.71712326596</c:v>
                </c:pt>
                <c:pt idx="237">
                  <c:v>815775.21086039394</c:v>
                </c:pt>
                <c:pt idx="238">
                  <c:v>781779.38441428298</c:v>
                </c:pt>
                <c:pt idx="239">
                  <c:v>733118.83187125181</c:v>
                </c:pt>
                <c:pt idx="240">
                  <c:v>731665.45568281878</c:v>
                </c:pt>
                <c:pt idx="241">
                  <c:v>650349.96772853832</c:v>
                </c:pt>
                <c:pt idx="242">
                  <c:v>811918.35845141532</c:v>
                </c:pt>
                <c:pt idx="243">
                  <c:v>736566.99475477391</c:v>
                </c:pt>
                <c:pt idx="244">
                  <c:v>786627.70108776761</c:v>
                </c:pt>
                <c:pt idx="245">
                  <c:v>754817.02692996245</c:v>
                </c:pt>
                <c:pt idx="246">
                  <c:v>701064.68065494066</c:v>
                </c:pt>
                <c:pt idx="247">
                  <c:v>684097.90305379964</c:v>
                </c:pt>
                <c:pt idx="248">
                  <c:v>571951.74652953132</c:v>
                </c:pt>
                <c:pt idx="249">
                  <c:v>682441.29505928315</c:v>
                </c:pt>
                <c:pt idx="250">
                  <c:v>640117.59736133472</c:v>
                </c:pt>
                <c:pt idx="251">
                  <c:v>740711.70623059338</c:v>
                </c:pt>
                <c:pt idx="252">
                  <c:v>723006.77183124656</c:v>
                </c:pt>
                <c:pt idx="253">
                  <c:v>702806.55418291385</c:v>
                </c:pt>
                <c:pt idx="254">
                  <c:v>676757.46870179777</c:v>
                </c:pt>
                <c:pt idx="255">
                  <c:v>642802.85239896912</c:v>
                </c:pt>
                <c:pt idx="256">
                  <c:v>750637.56305120292</c:v>
                </c:pt>
                <c:pt idx="257">
                  <c:v>683946.79219456192</c:v>
                </c:pt>
                <c:pt idx="258">
                  <c:v>734386.94874923991</c:v>
                </c:pt>
                <c:pt idx="259">
                  <c:v>713233.32204770308</c:v>
                </c:pt>
                <c:pt idx="260">
                  <c:v>514385.23105076078</c:v>
                </c:pt>
                <c:pt idx="261">
                  <c:v>601975.95007775049</c:v>
                </c:pt>
                <c:pt idx="262">
                  <c:v>622565.60003430548</c:v>
                </c:pt>
                <c:pt idx="263">
                  <c:v>589552.37038637383</c:v>
                </c:pt>
                <c:pt idx="264">
                  <c:v>711523.77769299841</c:v>
                </c:pt>
                <c:pt idx="265">
                  <c:v>744392.92070327303</c:v>
                </c:pt>
                <c:pt idx="266">
                  <c:v>723685.43270540331</c:v>
                </c:pt>
                <c:pt idx="267">
                  <c:v>724623.86995642749</c:v>
                </c:pt>
                <c:pt idx="268">
                  <c:v>723322.78758485196</c:v>
                </c:pt>
                <c:pt idx="269">
                  <c:v>691238.84154675831</c:v>
                </c:pt>
                <c:pt idx="270">
                  <c:v>801779.81888193451</c:v>
                </c:pt>
                <c:pt idx="271">
                  <c:v>680684.36595990846</c:v>
                </c:pt>
                <c:pt idx="272">
                  <c:v>650939.55684469535</c:v>
                </c:pt>
                <c:pt idx="273">
                  <c:v>525563.14631629991</c:v>
                </c:pt>
                <c:pt idx="274">
                  <c:v>642369.59342694015</c:v>
                </c:pt>
                <c:pt idx="275">
                  <c:v>626601.34619293839</c:v>
                </c:pt>
                <c:pt idx="276">
                  <c:v>753036.14822009613</c:v>
                </c:pt>
                <c:pt idx="277">
                  <c:v>717622.79818639765</c:v>
                </c:pt>
                <c:pt idx="278">
                  <c:v>756257.7182090003</c:v>
                </c:pt>
                <c:pt idx="279">
                  <c:v>792118.07335520559</c:v>
                </c:pt>
                <c:pt idx="280">
                  <c:v>588373.00325924356</c:v>
                </c:pt>
                <c:pt idx="281">
                  <c:v>588546.73177163955</c:v>
                </c:pt>
                <c:pt idx="282">
                  <c:v>668768.17562808364</c:v>
                </c:pt>
                <c:pt idx="283">
                  <c:v>519473.37612025469</c:v>
                </c:pt>
                <c:pt idx="284">
                  <c:v>661396.39235302049</c:v>
                </c:pt>
                <c:pt idx="285">
                  <c:v>629872.53899886366</c:v>
                </c:pt>
                <c:pt idx="286">
                  <c:v>593536.81135356112</c:v>
                </c:pt>
                <c:pt idx="287">
                  <c:v>575776.2734789059</c:v>
                </c:pt>
                <c:pt idx="288">
                  <c:v>746884.35082518519</c:v>
                </c:pt>
                <c:pt idx="289">
                  <c:v>721532.75407625013</c:v>
                </c:pt>
                <c:pt idx="290">
                  <c:v>747233.33487552626</c:v>
                </c:pt>
                <c:pt idx="291">
                  <c:v>706299.70252680127</c:v>
                </c:pt>
                <c:pt idx="292">
                  <c:v>586492.40084741137</c:v>
                </c:pt>
                <c:pt idx="293">
                  <c:v>521560.91265697085</c:v>
                </c:pt>
                <c:pt idx="294">
                  <c:v>497553.51968560647</c:v>
                </c:pt>
                <c:pt idx="295">
                  <c:v>481318.38071780652</c:v>
                </c:pt>
                <c:pt idx="296">
                  <c:v>665017.06357538502</c:v>
                </c:pt>
                <c:pt idx="297">
                  <c:v>659230.93100195203</c:v>
                </c:pt>
                <c:pt idx="298">
                  <c:v>613987.51811189053</c:v>
                </c:pt>
                <c:pt idx="299">
                  <c:v>473961.75006543595</c:v>
                </c:pt>
                <c:pt idx="300">
                  <c:v>719150.64029943664</c:v>
                </c:pt>
                <c:pt idx="301">
                  <c:v>742620.9579261007</c:v>
                </c:pt>
                <c:pt idx="302">
                  <c:v>733704.40401821979</c:v>
                </c:pt>
                <c:pt idx="303">
                  <c:v>702004.27839116089</c:v>
                </c:pt>
                <c:pt idx="304">
                  <c:v>672563.27410002123</c:v>
                </c:pt>
                <c:pt idx="305">
                  <c:v>650295.04839782824</c:v>
                </c:pt>
                <c:pt idx="306">
                  <c:v>631342.27966152376</c:v>
                </c:pt>
                <c:pt idx="307">
                  <c:v>684132.41951882164</c:v>
                </c:pt>
                <c:pt idx="308">
                  <c:v>641863.5994153854</c:v>
                </c:pt>
                <c:pt idx="309">
                  <c:v>596898.84328688146</c:v>
                </c:pt>
                <c:pt idx="310">
                  <c:v>633473.48430645303</c:v>
                </c:pt>
                <c:pt idx="311">
                  <c:v>742930.90362888249</c:v>
                </c:pt>
                <c:pt idx="312">
                  <c:v>703064.55662899965</c:v>
                </c:pt>
                <c:pt idx="313">
                  <c:v>712955.39769835561</c:v>
                </c:pt>
                <c:pt idx="314">
                  <c:v>672770.11795317859</c:v>
                </c:pt>
                <c:pt idx="315">
                  <c:v>808672.49402639235</c:v>
                </c:pt>
                <c:pt idx="316">
                  <c:v>667793.96225007321</c:v>
                </c:pt>
                <c:pt idx="317">
                  <c:v>551251.08089890471</c:v>
                </c:pt>
                <c:pt idx="318">
                  <c:v>741695.48227439425</c:v>
                </c:pt>
                <c:pt idx="319">
                  <c:v>617147.47982416314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E-6E4C-83EE-F661930FC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597408"/>
        <c:axId val="2014598736"/>
      </c:scatterChart>
      <c:valAx>
        <c:axId val="201459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598736"/>
        <c:crosses val="autoZero"/>
        <c:crossBetween val="midCat"/>
      </c:valAx>
      <c:valAx>
        <c:axId val="2014598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4597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region_dummy_north Line Fit  Plot</a:t>
            </a:r>
          </a:p>
        </c:rich>
      </c:tx>
      <c:layout>
        <c:manualLayout>
          <c:xMode val="edge"/>
          <c:yMode val="edge"/>
          <c:x val="0.1922403803298173"/>
          <c:y val="6.164383561643835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'Multiple Regression'!$H$2:$H$321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dummy_variable!$M$2:$M$321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4-4544-AD1D-808842019402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'Multiple Regression'!$H$2:$H$321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'Multiple Regression'!$Y$34:$Y$353</c:f>
              <c:numCache>
                <c:formatCode>General</c:formatCode>
                <c:ptCount val="320"/>
                <c:pt idx="0">
                  <c:v>761800.2357142336</c:v>
                </c:pt>
                <c:pt idx="1">
                  <c:v>726823.80352143536</c:v>
                </c:pt>
                <c:pt idx="2">
                  <c:v>769070.39296786638</c:v>
                </c:pt>
                <c:pt idx="3">
                  <c:v>775471.15195994591</c:v>
                </c:pt>
                <c:pt idx="4">
                  <c:v>761838.80182487844</c:v>
                </c:pt>
                <c:pt idx="5">
                  <c:v>799213.44401424867</c:v>
                </c:pt>
                <c:pt idx="6">
                  <c:v>804973.36656135763</c:v>
                </c:pt>
                <c:pt idx="7">
                  <c:v>760579.46111643268</c:v>
                </c:pt>
                <c:pt idx="8">
                  <c:v>839122.97620610567</c:v>
                </c:pt>
                <c:pt idx="9">
                  <c:v>783552.53400812368</c:v>
                </c:pt>
                <c:pt idx="10">
                  <c:v>736395.84591749916</c:v>
                </c:pt>
                <c:pt idx="11">
                  <c:v>862172.2051033536</c:v>
                </c:pt>
                <c:pt idx="12">
                  <c:v>906751.87738530547</c:v>
                </c:pt>
                <c:pt idx="13">
                  <c:v>794711.19444486336</c:v>
                </c:pt>
                <c:pt idx="14">
                  <c:v>753281.3514456976</c:v>
                </c:pt>
                <c:pt idx="15">
                  <c:v>858972.53446940111</c:v>
                </c:pt>
                <c:pt idx="16">
                  <c:v>699033.51028207922</c:v>
                </c:pt>
                <c:pt idx="17">
                  <c:v>606850.32812692062</c:v>
                </c:pt>
                <c:pt idx="18">
                  <c:v>682418.34893507068</c:v>
                </c:pt>
                <c:pt idx="19">
                  <c:v>603623.44740455621</c:v>
                </c:pt>
                <c:pt idx="20">
                  <c:v>517523.18923537963</c:v>
                </c:pt>
                <c:pt idx="21">
                  <c:v>502495.44007809501</c:v>
                </c:pt>
                <c:pt idx="22">
                  <c:v>555447.61013952433</c:v>
                </c:pt>
                <c:pt idx="23">
                  <c:v>547598.82441293076</c:v>
                </c:pt>
                <c:pt idx="24">
                  <c:v>804668.77643318055</c:v>
                </c:pt>
                <c:pt idx="25">
                  <c:v>889039.36292144214</c:v>
                </c:pt>
                <c:pt idx="26">
                  <c:v>767388.0790518776</c:v>
                </c:pt>
                <c:pt idx="27">
                  <c:v>698577.23642136122</c:v>
                </c:pt>
                <c:pt idx="28">
                  <c:v>607878.17724350502</c:v>
                </c:pt>
                <c:pt idx="29">
                  <c:v>540000.69037001394</c:v>
                </c:pt>
                <c:pt idx="30">
                  <c:v>529320.40577941353</c:v>
                </c:pt>
                <c:pt idx="31">
                  <c:v>504203.16248342994</c:v>
                </c:pt>
                <c:pt idx="32">
                  <c:v>770139.22784534784</c:v>
                </c:pt>
                <c:pt idx="33">
                  <c:v>878226.50031760894</c:v>
                </c:pt>
                <c:pt idx="34">
                  <c:v>806432.44453818083</c:v>
                </c:pt>
                <c:pt idx="35">
                  <c:v>796818.8339149229</c:v>
                </c:pt>
                <c:pt idx="36">
                  <c:v>782193.62809675792</c:v>
                </c:pt>
                <c:pt idx="37">
                  <c:v>737818.03873692348</c:v>
                </c:pt>
                <c:pt idx="38">
                  <c:v>750394.98707073811</c:v>
                </c:pt>
                <c:pt idx="39">
                  <c:v>796726.53330956178</c:v>
                </c:pt>
                <c:pt idx="40">
                  <c:v>556782.23638429516</c:v>
                </c:pt>
                <c:pt idx="41">
                  <c:v>555336.75875122438</c:v>
                </c:pt>
                <c:pt idx="42">
                  <c:v>585882.65290090884</c:v>
                </c:pt>
                <c:pt idx="43">
                  <c:v>601448.46072989609</c:v>
                </c:pt>
                <c:pt idx="44">
                  <c:v>731569.8519977415</c:v>
                </c:pt>
                <c:pt idx="45">
                  <c:v>608200.31107214605</c:v>
                </c:pt>
                <c:pt idx="46">
                  <c:v>581770.00515633717</c:v>
                </c:pt>
                <c:pt idx="47">
                  <c:v>578113.19297493261</c:v>
                </c:pt>
                <c:pt idx="48">
                  <c:v>623226.68920045486</c:v>
                </c:pt>
                <c:pt idx="49">
                  <c:v>632240.49622935988</c:v>
                </c:pt>
                <c:pt idx="50">
                  <c:v>635647.49185678782</c:v>
                </c:pt>
                <c:pt idx="51">
                  <c:v>719440.41930099169</c:v>
                </c:pt>
                <c:pt idx="52">
                  <c:v>569841.23169364699</c:v>
                </c:pt>
                <c:pt idx="53">
                  <c:v>694485.38681705634</c:v>
                </c:pt>
                <c:pt idx="54">
                  <c:v>674897.70809636801</c:v>
                </c:pt>
                <c:pt idx="55">
                  <c:v>528103.15514020121</c:v>
                </c:pt>
                <c:pt idx="56">
                  <c:v>509458.8326143857</c:v>
                </c:pt>
                <c:pt idx="57">
                  <c:v>555716.74300885655</c:v>
                </c:pt>
                <c:pt idx="58">
                  <c:v>664579.10259470681</c:v>
                </c:pt>
                <c:pt idx="59">
                  <c:v>606126.76016147586</c:v>
                </c:pt>
                <c:pt idx="60">
                  <c:v>664692.48030474735</c:v>
                </c:pt>
                <c:pt idx="61">
                  <c:v>575018.01073485031</c:v>
                </c:pt>
                <c:pt idx="62">
                  <c:v>583481.94477141998</c:v>
                </c:pt>
                <c:pt idx="63">
                  <c:v>709500.52251573</c:v>
                </c:pt>
                <c:pt idx="64">
                  <c:v>784873.98042679613</c:v>
                </c:pt>
                <c:pt idx="65">
                  <c:v>717812.79134865908</c:v>
                </c:pt>
                <c:pt idx="66">
                  <c:v>810994.78287815105</c:v>
                </c:pt>
                <c:pt idx="67">
                  <c:v>723106.28244786826</c:v>
                </c:pt>
                <c:pt idx="68">
                  <c:v>595824.6024713146</c:v>
                </c:pt>
                <c:pt idx="69">
                  <c:v>527388.759222692</c:v>
                </c:pt>
                <c:pt idx="70">
                  <c:v>565672.40574079135</c:v>
                </c:pt>
                <c:pt idx="71">
                  <c:v>650656.75905812986</c:v>
                </c:pt>
                <c:pt idx="72">
                  <c:v>633676.04109209729</c:v>
                </c:pt>
                <c:pt idx="73">
                  <c:v>691276.23939183634</c:v>
                </c:pt>
                <c:pt idx="74">
                  <c:v>699258.91283686494</c:v>
                </c:pt>
                <c:pt idx="75">
                  <c:v>732650.19316887658</c:v>
                </c:pt>
                <c:pt idx="76">
                  <c:v>686535.41862681031</c:v>
                </c:pt>
                <c:pt idx="77">
                  <c:v>663913.97339053103</c:v>
                </c:pt>
                <c:pt idx="78">
                  <c:v>733795.08735294873</c:v>
                </c:pt>
                <c:pt idx="79">
                  <c:v>673631.62515207252</c:v>
                </c:pt>
                <c:pt idx="80">
                  <c:v>641934.67763094511</c:v>
                </c:pt>
                <c:pt idx="81">
                  <c:v>616994.00117289869</c:v>
                </c:pt>
                <c:pt idx="82">
                  <c:v>638088.34420019609</c:v>
                </c:pt>
                <c:pt idx="83">
                  <c:v>565660.06639544654</c:v>
                </c:pt>
                <c:pt idx="84">
                  <c:v>564342.88301705685</c:v>
                </c:pt>
                <c:pt idx="85">
                  <c:v>623476.43244029605</c:v>
                </c:pt>
                <c:pt idx="86">
                  <c:v>617827.19936171197</c:v>
                </c:pt>
                <c:pt idx="87">
                  <c:v>458644.74563212355</c:v>
                </c:pt>
                <c:pt idx="88">
                  <c:v>697720.12468882394</c:v>
                </c:pt>
                <c:pt idx="89">
                  <c:v>747333.37845070811</c:v>
                </c:pt>
                <c:pt idx="90">
                  <c:v>697639.42139524082</c:v>
                </c:pt>
                <c:pt idx="91">
                  <c:v>563321.32756371086</c:v>
                </c:pt>
                <c:pt idx="92">
                  <c:v>585691.28516037692</c:v>
                </c:pt>
                <c:pt idx="93">
                  <c:v>701048.32539094368</c:v>
                </c:pt>
                <c:pt idx="94">
                  <c:v>765984.54502858943</c:v>
                </c:pt>
                <c:pt idx="95">
                  <c:v>615091.78840116784</c:v>
                </c:pt>
                <c:pt idx="96">
                  <c:v>676625.5758036382</c:v>
                </c:pt>
                <c:pt idx="97">
                  <c:v>654179.71586391144</c:v>
                </c:pt>
                <c:pt idx="98">
                  <c:v>602862.09920586599</c:v>
                </c:pt>
                <c:pt idx="99">
                  <c:v>630203.10237774451</c:v>
                </c:pt>
                <c:pt idx="100">
                  <c:v>576470.50696763047</c:v>
                </c:pt>
                <c:pt idx="101">
                  <c:v>610214.98775794986</c:v>
                </c:pt>
                <c:pt idx="102">
                  <c:v>721986.64215541992</c:v>
                </c:pt>
                <c:pt idx="103">
                  <c:v>518079.68913128268</c:v>
                </c:pt>
                <c:pt idx="104">
                  <c:v>711199.1452325111</c:v>
                </c:pt>
                <c:pt idx="105">
                  <c:v>780036.47198897274</c:v>
                </c:pt>
                <c:pt idx="106">
                  <c:v>702908.55619742454</c:v>
                </c:pt>
                <c:pt idx="107">
                  <c:v>676583.56635217962</c:v>
                </c:pt>
                <c:pt idx="108">
                  <c:v>712568.02598169644</c:v>
                </c:pt>
                <c:pt idx="109">
                  <c:v>644261.42871135951</c:v>
                </c:pt>
                <c:pt idx="110">
                  <c:v>648131.55015012482</c:v>
                </c:pt>
                <c:pt idx="111">
                  <c:v>598503.21613818372</c:v>
                </c:pt>
                <c:pt idx="112">
                  <c:v>762273.60625253082</c:v>
                </c:pt>
                <c:pt idx="113">
                  <c:v>803706.20448907069</c:v>
                </c:pt>
                <c:pt idx="114">
                  <c:v>740837.02182401868</c:v>
                </c:pt>
                <c:pt idx="115">
                  <c:v>734839.39280493045</c:v>
                </c:pt>
                <c:pt idx="116">
                  <c:v>702378.86154929257</c:v>
                </c:pt>
                <c:pt idx="117">
                  <c:v>741819.07211394899</c:v>
                </c:pt>
                <c:pt idx="118">
                  <c:v>729189.2813617799</c:v>
                </c:pt>
                <c:pt idx="119">
                  <c:v>711188.95556235407</c:v>
                </c:pt>
                <c:pt idx="120">
                  <c:v>580092.25968351332</c:v>
                </c:pt>
                <c:pt idx="121">
                  <c:v>626743.40275213425</c:v>
                </c:pt>
                <c:pt idx="122">
                  <c:v>605964.49657718465</c:v>
                </c:pt>
                <c:pt idx="123">
                  <c:v>475426.22652680677</c:v>
                </c:pt>
                <c:pt idx="124">
                  <c:v>814791.05313869461</c:v>
                </c:pt>
                <c:pt idx="125">
                  <c:v>813924.71182143141</c:v>
                </c:pt>
                <c:pt idx="126">
                  <c:v>774355.61271347688</c:v>
                </c:pt>
                <c:pt idx="127">
                  <c:v>717562.34884886583</c:v>
                </c:pt>
                <c:pt idx="128">
                  <c:v>825847.71873844648</c:v>
                </c:pt>
                <c:pt idx="129">
                  <c:v>821751.86584348278</c:v>
                </c:pt>
                <c:pt idx="130">
                  <c:v>774693.32048987318</c:v>
                </c:pt>
                <c:pt idx="131">
                  <c:v>838110.48666574759</c:v>
                </c:pt>
                <c:pt idx="132">
                  <c:v>583486.43841171206</c:v>
                </c:pt>
                <c:pt idx="133">
                  <c:v>477516.83754798403</c:v>
                </c:pt>
                <c:pt idx="134">
                  <c:v>581852.09075220372</c:v>
                </c:pt>
                <c:pt idx="135">
                  <c:v>538207.6618849861</c:v>
                </c:pt>
                <c:pt idx="136">
                  <c:v>748439.23174097273</c:v>
                </c:pt>
                <c:pt idx="137">
                  <c:v>694844.26038866281</c:v>
                </c:pt>
                <c:pt idx="138">
                  <c:v>692382.49147846899</c:v>
                </c:pt>
                <c:pt idx="139">
                  <c:v>624272.07236387709</c:v>
                </c:pt>
                <c:pt idx="140">
                  <c:v>660464.77467725659</c:v>
                </c:pt>
                <c:pt idx="141">
                  <c:v>680767.63057225768</c:v>
                </c:pt>
                <c:pt idx="142">
                  <c:v>640623.91757593758</c:v>
                </c:pt>
                <c:pt idx="143">
                  <c:v>652381.84087266936</c:v>
                </c:pt>
                <c:pt idx="144">
                  <c:v>618236.92042710795</c:v>
                </c:pt>
                <c:pt idx="145">
                  <c:v>566998.87904103671</c:v>
                </c:pt>
                <c:pt idx="146">
                  <c:v>598299.33324024337</c:v>
                </c:pt>
                <c:pt idx="147">
                  <c:v>579969.19322933035</c:v>
                </c:pt>
                <c:pt idx="148">
                  <c:v>640495.28923369781</c:v>
                </c:pt>
                <c:pt idx="149">
                  <c:v>672413.91626546707</c:v>
                </c:pt>
                <c:pt idx="150">
                  <c:v>638125.07367090986</c:v>
                </c:pt>
                <c:pt idx="151">
                  <c:v>669494.96536704223</c:v>
                </c:pt>
                <c:pt idx="152">
                  <c:v>796597.64673841826</c:v>
                </c:pt>
                <c:pt idx="153">
                  <c:v>691343.77187487006</c:v>
                </c:pt>
                <c:pt idx="154">
                  <c:v>720733.07550490042</c:v>
                </c:pt>
                <c:pt idx="155">
                  <c:v>697243.23357043194</c:v>
                </c:pt>
                <c:pt idx="156">
                  <c:v>717494.54010345333</c:v>
                </c:pt>
                <c:pt idx="157">
                  <c:v>627334.68794953846</c:v>
                </c:pt>
                <c:pt idx="158">
                  <c:v>694517.23638387164</c:v>
                </c:pt>
                <c:pt idx="159">
                  <c:v>550290.55496469093</c:v>
                </c:pt>
                <c:pt idx="160">
                  <c:v>688921.05880561785</c:v>
                </c:pt>
                <c:pt idx="161">
                  <c:v>693857.85063246195</c:v>
                </c:pt>
                <c:pt idx="162">
                  <c:v>724557.76735109987</c:v>
                </c:pt>
                <c:pt idx="163">
                  <c:v>679577.10421045334</c:v>
                </c:pt>
                <c:pt idx="164">
                  <c:v>789138.88096847199</c:v>
                </c:pt>
                <c:pt idx="165">
                  <c:v>732728.94583282038</c:v>
                </c:pt>
                <c:pt idx="166">
                  <c:v>668023.78373269131</c:v>
                </c:pt>
                <c:pt idx="167">
                  <c:v>802905.81554500281</c:v>
                </c:pt>
                <c:pt idx="168">
                  <c:v>779960.91330591124</c:v>
                </c:pt>
                <c:pt idx="169">
                  <c:v>690045.55139960302</c:v>
                </c:pt>
                <c:pt idx="170">
                  <c:v>751178.35697839176</c:v>
                </c:pt>
                <c:pt idx="171">
                  <c:v>695788.72942324483</c:v>
                </c:pt>
                <c:pt idx="172">
                  <c:v>760455.75661552337</c:v>
                </c:pt>
                <c:pt idx="173">
                  <c:v>765161.26452445926</c:v>
                </c:pt>
                <c:pt idx="174">
                  <c:v>802834.58515667228</c:v>
                </c:pt>
                <c:pt idx="175">
                  <c:v>813477.3063287884</c:v>
                </c:pt>
                <c:pt idx="176">
                  <c:v>894228.89010214154</c:v>
                </c:pt>
                <c:pt idx="177">
                  <c:v>690906.21099330334</c:v>
                </c:pt>
                <c:pt idx="178">
                  <c:v>747269.63575476222</c:v>
                </c:pt>
                <c:pt idx="179">
                  <c:v>826330.02505674225</c:v>
                </c:pt>
                <c:pt idx="180">
                  <c:v>858908.17544813047</c:v>
                </c:pt>
                <c:pt idx="181">
                  <c:v>757602.27351468289</c:v>
                </c:pt>
                <c:pt idx="182">
                  <c:v>797764.20759947679</c:v>
                </c:pt>
                <c:pt idx="183">
                  <c:v>827029.11772628874</c:v>
                </c:pt>
                <c:pt idx="184">
                  <c:v>687915.85052306694</c:v>
                </c:pt>
                <c:pt idx="185">
                  <c:v>635416.76818881452</c:v>
                </c:pt>
                <c:pt idx="186">
                  <c:v>675884.89831018797</c:v>
                </c:pt>
                <c:pt idx="187">
                  <c:v>748846.43274083571</c:v>
                </c:pt>
                <c:pt idx="188">
                  <c:v>606204.75822694332</c:v>
                </c:pt>
                <c:pt idx="189">
                  <c:v>543141.00051998615</c:v>
                </c:pt>
                <c:pt idx="190">
                  <c:v>469844.33592189342</c:v>
                </c:pt>
                <c:pt idx="191">
                  <c:v>601560.06467992801</c:v>
                </c:pt>
                <c:pt idx="192">
                  <c:v>692560.73396348266</c:v>
                </c:pt>
                <c:pt idx="193">
                  <c:v>624815.52161674958</c:v>
                </c:pt>
                <c:pt idx="194">
                  <c:v>572130.36258772714</c:v>
                </c:pt>
                <c:pt idx="195">
                  <c:v>539551.72412476572</c:v>
                </c:pt>
                <c:pt idx="196">
                  <c:v>648157.61239706329</c:v>
                </c:pt>
                <c:pt idx="197">
                  <c:v>614118.95915334567</c:v>
                </c:pt>
                <c:pt idx="198">
                  <c:v>613399.634160463</c:v>
                </c:pt>
                <c:pt idx="199">
                  <c:v>648531.77706220793</c:v>
                </c:pt>
                <c:pt idx="200">
                  <c:v>621711.51976274583</c:v>
                </c:pt>
                <c:pt idx="201">
                  <c:v>696760.22370832425</c:v>
                </c:pt>
                <c:pt idx="202">
                  <c:v>675896.36402022222</c:v>
                </c:pt>
                <c:pt idx="203">
                  <c:v>670482.2694377047</c:v>
                </c:pt>
                <c:pt idx="204">
                  <c:v>823120.393193483</c:v>
                </c:pt>
                <c:pt idx="205">
                  <c:v>723555.82872879936</c:v>
                </c:pt>
                <c:pt idx="206">
                  <c:v>748608.48286144377</c:v>
                </c:pt>
                <c:pt idx="207">
                  <c:v>739481.40585015505</c:v>
                </c:pt>
                <c:pt idx="208">
                  <c:v>810185.46360147628</c:v>
                </c:pt>
                <c:pt idx="209">
                  <c:v>780660.48684842919</c:v>
                </c:pt>
                <c:pt idx="210">
                  <c:v>958438.28698671446</c:v>
                </c:pt>
                <c:pt idx="211">
                  <c:v>782198.03430234909</c:v>
                </c:pt>
                <c:pt idx="212">
                  <c:v>775767.90042674937</c:v>
                </c:pt>
                <c:pt idx="213">
                  <c:v>757168.03064839554</c:v>
                </c:pt>
                <c:pt idx="214">
                  <c:v>770961.2142002011</c:v>
                </c:pt>
                <c:pt idx="215">
                  <c:v>824451.42166050419</c:v>
                </c:pt>
                <c:pt idx="216">
                  <c:v>656862.03774729953</c:v>
                </c:pt>
                <c:pt idx="217">
                  <c:v>593750.99745248479</c:v>
                </c:pt>
                <c:pt idx="218">
                  <c:v>604889.76305588474</c:v>
                </c:pt>
                <c:pt idx="219">
                  <c:v>572792.07601229975</c:v>
                </c:pt>
                <c:pt idx="220">
                  <c:v>699452.86765290902</c:v>
                </c:pt>
                <c:pt idx="221">
                  <c:v>678902.57347481058</c:v>
                </c:pt>
                <c:pt idx="222">
                  <c:v>737196.34944668179</c:v>
                </c:pt>
                <c:pt idx="223">
                  <c:v>781764.62422442634</c:v>
                </c:pt>
                <c:pt idx="224">
                  <c:v>625144.44373897475</c:v>
                </c:pt>
                <c:pt idx="225">
                  <c:v>557712.41118736111</c:v>
                </c:pt>
                <c:pt idx="226">
                  <c:v>570861.31000628683</c:v>
                </c:pt>
                <c:pt idx="227">
                  <c:v>490072.03176239127</c:v>
                </c:pt>
                <c:pt idx="228">
                  <c:v>643337.8390515385</c:v>
                </c:pt>
                <c:pt idx="229">
                  <c:v>818496.03165007988</c:v>
                </c:pt>
                <c:pt idx="230">
                  <c:v>649631.50141536375</c:v>
                </c:pt>
                <c:pt idx="231">
                  <c:v>619935.64856642007</c:v>
                </c:pt>
                <c:pt idx="232">
                  <c:v>597951.69799367734</c:v>
                </c:pt>
                <c:pt idx="233">
                  <c:v>644543.89151204086</c:v>
                </c:pt>
                <c:pt idx="234">
                  <c:v>657843.33414926729</c:v>
                </c:pt>
                <c:pt idx="235">
                  <c:v>658137.94679863297</c:v>
                </c:pt>
                <c:pt idx="236">
                  <c:v>781649.71712326596</c:v>
                </c:pt>
                <c:pt idx="237">
                  <c:v>815775.21086039394</c:v>
                </c:pt>
                <c:pt idx="238">
                  <c:v>781779.38441428298</c:v>
                </c:pt>
                <c:pt idx="239">
                  <c:v>733118.83187125181</c:v>
                </c:pt>
                <c:pt idx="240">
                  <c:v>731665.45568281878</c:v>
                </c:pt>
                <c:pt idx="241">
                  <c:v>650349.96772853832</c:v>
                </c:pt>
                <c:pt idx="242">
                  <c:v>811918.35845141532</c:v>
                </c:pt>
                <c:pt idx="243">
                  <c:v>736566.99475477391</c:v>
                </c:pt>
                <c:pt idx="244">
                  <c:v>786627.70108776761</c:v>
                </c:pt>
                <c:pt idx="245">
                  <c:v>754817.02692996245</c:v>
                </c:pt>
                <c:pt idx="246">
                  <c:v>701064.68065494066</c:v>
                </c:pt>
                <c:pt idx="247">
                  <c:v>684097.90305379964</c:v>
                </c:pt>
                <c:pt idx="248">
                  <c:v>571951.74652953132</c:v>
                </c:pt>
                <c:pt idx="249">
                  <c:v>682441.29505928315</c:v>
                </c:pt>
                <c:pt idx="250">
                  <c:v>640117.59736133472</c:v>
                </c:pt>
                <c:pt idx="251">
                  <c:v>740711.70623059338</c:v>
                </c:pt>
                <c:pt idx="252">
                  <c:v>723006.77183124656</c:v>
                </c:pt>
                <c:pt idx="253">
                  <c:v>702806.55418291385</c:v>
                </c:pt>
                <c:pt idx="254">
                  <c:v>676757.46870179777</c:v>
                </c:pt>
                <c:pt idx="255">
                  <c:v>642802.85239896912</c:v>
                </c:pt>
                <c:pt idx="256">
                  <c:v>750637.56305120292</c:v>
                </c:pt>
                <c:pt idx="257">
                  <c:v>683946.79219456192</c:v>
                </c:pt>
                <c:pt idx="258">
                  <c:v>734386.94874923991</c:v>
                </c:pt>
                <c:pt idx="259">
                  <c:v>713233.32204770308</c:v>
                </c:pt>
                <c:pt idx="260">
                  <c:v>514385.23105076078</c:v>
                </c:pt>
                <c:pt idx="261">
                  <c:v>601975.95007775049</c:v>
                </c:pt>
                <c:pt idx="262">
                  <c:v>622565.60003430548</c:v>
                </c:pt>
                <c:pt idx="263">
                  <c:v>589552.37038637383</c:v>
                </c:pt>
                <c:pt idx="264">
                  <c:v>711523.77769299841</c:v>
                </c:pt>
                <c:pt idx="265">
                  <c:v>744392.92070327303</c:v>
                </c:pt>
                <c:pt idx="266">
                  <c:v>723685.43270540331</c:v>
                </c:pt>
                <c:pt idx="267">
                  <c:v>724623.86995642749</c:v>
                </c:pt>
                <c:pt idx="268">
                  <c:v>723322.78758485196</c:v>
                </c:pt>
                <c:pt idx="269">
                  <c:v>691238.84154675831</c:v>
                </c:pt>
                <c:pt idx="270">
                  <c:v>801779.81888193451</c:v>
                </c:pt>
                <c:pt idx="271">
                  <c:v>680684.36595990846</c:v>
                </c:pt>
                <c:pt idx="272">
                  <c:v>650939.55684469535</c:v>
                </c:pt>
                <c:pt idx="273">
                  <c:v>525563.14631629991</c:v>
                </c:pt>
                <c:pt idx="274">
                  <c:v>642369.59342694015</c:v>
                </c:pt>
                <c:pt idx="275">
                  <c:v>626601.34619293839</c:v>
                </c:pt>
                <c:pt idx="276">
                  <c:v>753036.14822009613</c:v>
                </c:pt>
                <c:pt idx="277">
                  <c:v>717622.79818639765</c:v>
                </c:pt>
                <c:pt idx="278">
                  <c:v>756257.7182090003</c:v>
                </c:pt>
                <c:pt idx="279">
                  <c:v>792118.07335520559</c:v>
                </c:pt>
                <c:pt idx="280">
                  <c:v>588373.00325924356</c:v>
                </c:pt>
                <c:pt idx="281">
                  <c:v>588546.73177163955</c:v>
                </c:pt>
                <c:pt idx="282">
                  <c:v>668768.17562808364</c:v>
                </c:pt>
                <c:pt idx="283">
                  <c:v>519473.37612025469</c:v>
                </c:pt>
                <c:pt idx="284">
                  <c:v>661396.39235302049</c:v>
                </c:pt>
                <c:pt idx="285">
                  <c:v>629872.53899886366</c:v>
                </c:pt>
                <c:pt idx="286">
                  <c:v>593536.81135356112</c:v>
                </c:pt>
                <c:pt idx="287">
                  <c:v>575776.2734789059</c:v>
                </c:pt>
                <c:pt idx="288">
                  <c:v>746884.35082518519</c:v>
                </c:pt>
                <c:pt idx="289">
                  <c:v>721532.75407625013</c:v>
                </c:pt>
                <c:pt idx="290">
                  <c:v>747233.33487552626</c:v>
                </c:pt>
                <c:pt idx="291">
                  <c:v>706299.70252680127</c:v>
                </c:pt>
                <c:pt idx="292">
                  <c:v>586492.40084741137</c:v>
                </c:pt>
                <c:pt idx="293">
                  <c:v>521560.91265697085</c:v>
                </c:pt>
                <c:pt idx="294">
                  <c:v>497553.51968560647</c:v>
                </c:pt>
                <c:pt idx="295">
                  <c:v>481318.38071780652</c:v>
                </c:pt>
                <c:pt idx="296">
                  <c:v>665017.06357538502</c:v>
                </c:pt>
                <c:pt idx="297">
                  <c:v>659230.93100195203</c:v>
                </c:pt>
                <c:pt idx="298">
                  <c:v>613987.51811189053</c:v>
                </c:pt>
                <c:pt idx="299">
                  <c:v>473961.75006543595</c:v>
                </c:pt>
                <c:pt idx="300">
                  <c:v>719150.64029943664</c:v>
                </c:pt>
                <c:pt idx="301">
                  <c:v>742620.9579261007</c:v>
                </c:pt>
                <c:pt idx="302">
                  <c:v>733704.40401821979</c:v>
                </c:pt>
                <c:pt idx="303">
                  <c:v>702004.27839116089</c:v>
                </c:pt>
                <c:pt idx="304">
                  <c:v>672563.27410002123</c:v>
                </c:pt>
                <c:pt idx="305">
                  <c:v>650295.04839782824</c:v>
                </c:pt>
                <c:pt idx="306">
                  <c:v>631342.27966152376</c:v>
                </c:pt>
                <c:pt idx="307">
                  <c:v>684132.41951882164</c:v>
                </c:pt>
                <c:pt idx="308">
                  <c:v>641863.5994153854</c:v>
                </c:pt>
                <c:pt idx="309">
                  <c:v>596898.84328688146</c:v>
                </c:pt>
                <c:pt idx="310">
                  <c:v>633473.48430645303</c:v>
                </c:pt>
                <c:pt idx="311">
                  <c:v>742930.90362888249</c:v>
                </c:pt>
                <c:pt idx="312">
                  <c:v>703064.55662899965</c:v>
                </c:pt>
                <c:pt idx="313">
                  <c:v>712955.39769835561</c:v>
                </c:pt>
                <c:pt idx="314">
                  <c:v>672770.11795317859</c:v>
                </c:pt>
                <c:pt idx="315">
                  <c:v>808672.49402639235</c:v>
                </c:pt>
                <c:pt idx="316">
                  <c:v>667793.96225007321</c:v>
                </c:pt>
                <c:pt idx="317">
                  <c:v>551251.08089890471</c:v>
                </c:pt>
                <c:pt idx="318">
                  <c:v>741695.48227439425</c:v>
                </c:pt>
                <c:pt idx="319">
                  <c:v>617147.47982416314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94-4544-AD1D-80884201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33648"/>
        <c:axId val="161855520"/>
      </c:scatterChart>
      <c:valAx>
        <c:axId val="16163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region_dummy_north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855520"/>
        <c:crosses val="autoZero"/>
        <c:crossBetween val="midCat"/>
      </c:valAx>
      <c:valAx>
        <c:axId val="16185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633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635000</xdr:colOff>
      <xdr:row>31</xdr:row>
      <xdr:rowOff>63500</xdr:rowOff>
    </xdr:from>
    <xdr:to>
      <xdr:col>43</xdr:col>
      <xdr:colOff>635000</xdr:colOff>
      <xdr:row>41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C9CD2-1F8B-152A-1971-B0531570C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622300</xdr:colOff>
      <xdr:row>20</xdr:row>
      <xdr:rowOff>152400</xdr:rowOff>
    </xdr:from>
    <xdr:to>
      <xdr:col>43</xdr:col>
      <xdr:colOff>622300</xdr:colOff>
      <xdr:row>30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846F0-7F35-0213-AC76-3424E6EA1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596900</xdr:colOff>
      <xdr:row>10</xdr:row>
      <xdr:rowOff>101600</xdr:rowOff>
    </xdr:from>
    <xdr:to>
      <xdr:col>43</xdr:col>
      <xdr:colOff>596900</xdr:colOff>
      <xdr:row>20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8B0A8-FF12-AA87-68E9-654C3970D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609600</xdr:colOff>
      <xdr:row>0</xdr:row>
      <xdr:rowOff>279400</xdr:rowOff>
    </xdr:from>
    <xdr:to>
      <xdr:col>43</xdr:col>
      <xdr:colOff>609600</xdr:colOff>
      <xdr:row>10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510F0-C870-135B-7B2F-F765FD1DF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sqref="A1:XFD1048576"/>
    </sheetView>
  </sheetViews>
  <sheetFormatPr baseColWidth="10" defaultColWidth="8.83203125" defaultRowHeight="14"/>
  <cols>
    <col min="1" max="14" width="16" customWidth="1"/>
  </cols>
  <sheetData>
    <row r="1" spans="1:14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397D-2344-7E40-8D35-1F022E3083F5}">
  <dimension ref="A1:N321"/>
  <sheetViews>
    <sheetView zoomScale="130" zoomScaleNormal="130" workbookViewId="0">
      <selection activeCell="E33" sqref="E33"/>
    </sheetView>
  </sheetViews>
  <sheetFormatPr baseColWidth="10" defaultColWidth="8.83203125" defaultRowHeight="14"/>
  <cols>
    <col min="1" max="14" width="16" customWidth="1"/>
  </cols>
  <sheetData>
    <row r="1" spans="1:14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 s="4" t="s">
        <v>118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 s="4" t="s">
        <v>118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 s="4" t="s">
        <v>118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 s="4" t="s">
        <v>118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 s="4" t="s">
        <v>118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 s="4" t="s">
        <v>118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 s="4" t="s">
        <v>118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 s="4" t="s">
        <v>118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B3CD397D-2344-7E40-8D35-1F022E3083F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5D48-9E89-8A44-B1EE-0B235CD7C6EB}">
  <dimension ref="A1:T321"/>
  <sheetViews>
    <sheetView zoomScale="120" zoomScaleNormal="120" workbookViewId="0">
      <selection activeCell="E283" sqref="A1:XFD1048576"/>
    </sheetView>
  </sheetViews>
  <sheetFormatPr baseColWidth="10" defaultColWidth="8.83203125" defaultRowHeight="14"/>
  <cols>
    <col min="1" max="15" width="16" customWidth="1"/>
    <col min="16" max="16" width="15.33203125" customWidth="1"/>
    <col min="17" max="17" width="14.33203125" customWidth="1"/>
    <col min="18" max="18" width="14.1640625" customWidth="1"/>
    <col min="19" max="19" width="14.83203125" customWidth="1"/>
    <col min="20" max="20" width="11.83203125" customWidth="1"/>
  </cols>
  <sheetData>
    <row r="1" spans="1:20" ht="37.25" customHeight="1">
      <c r="A1" s="1" t="s">
        <v>0</v>
      </c>
      <c r="B1" s="1" t="s">
        <v>1</v>
      </c>
      <c r="C1" s="5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119</v>
      </c>
      <c r="P1" s="5" t="s">
        <v>120</v>
      </c>
      <c r="Q1" s="5" t="s">
        <v>121</v>
      </c>
      <c r="R1" s="6" t="s">
        <v>122</v>
      </c>
      <c r="S1" s="6" t="s">
        <v>123</v>
      </c>
      <c r="T1" s="6" t="s">
        <v>124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IF($C2="North",1,0)</f>
        <v>0</v>
      </c>
      <c r="P2">
        <f>IF($C2="South",1,0)</f>
        <v>0</v>
      </c>
      <c r="Q2">
        <f>IF($C2="East",1,0)</f>
        <v>1</v>
      </c>
      <c r="R2">
        <f>IF($D2="Residential",1,0)</f>
        <v>1</v>
      </c>
      <c r="S2">
        <f>IF($D2="Mall",1,0)</f>
        <v>0</v>
      </c>
      <c r="T2">
        <f>IF($D2="High Street",1,0)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IF($C3="North",1,0)</f>
        <v>0</v>
      </c>
      <c r="P3">
        <f t="shared" ref="P3:P66" si="1">IF($C3="South",1,0)</f>
        <v>0</v>
      </c>
      <c r="Q3">
        <f t="shared" ref="Q3:Q66" si="2">IF($C3="East",1,0)</f>
        <v>1</v>
      </c>
      <c r="R3">
        <f t="shared" ref="R3:R66" si="3">IF($D3="Residential",1,0)</f>
        <v>1</v>
      </c>
      <c r="S3">
        <f t="shared" ref="S3:S66" si="4">IF($D3="Mall",1,0)</f>
        <v>0</v>
      </c>
      <c r="T3">
        <f t="shared" ref="T3:T66" si="5">IF($D3="High Street",1,0)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1</v>
      </c>
      <c r="R4">
        <f t="shared" si="3"/>
        <v>1</v>
      </c>
      <c r="S4">
        <f t="shared" si="4"/>
        <v>0</v>
      </c>
      <c r="T4">
        <f t="shared" si="5"/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1</v>
      </c>
      <c r="R5">
        <f t="shared" si="3"/>
        <v>1</v>
      </c>
      <c r="S5">
        <f t="shared" si="4"/>
        <v>0</v>
      </c>
      <c r="T5">
        <f t="shared" si="5"/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1</v>
      </c>
      <c r="R6">
        <f t="shared" si="3"/>
        <v>0</v>
      </c>
      <c r="S6">
        <f t="shared" si="4"/>
        <v>0</v>
      </c>
      <c r="T6">
        <f t="shared" si="5"/>
        <v>1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1</v>
      </c>
      <c r="R7">
        <f t="shared" si="3"/>
        <v>0</v>
      </c>
      <c r="S7">
        <f t="shared" si="4"/>
        <v>0</v>
      </c>
      <c r="T7">
        <f t="shared" si="5"/>
        <v>1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1</v>
      </c>
      <c r="R8">
        <f t="shared" si="3"/>
        <v>0</v>
      </c>
      <c r="S8">
        <f t="shared" si="4"/>
        <v>0</v>
      </c>
      <c r="T8">
        <f t="shared" si="5"/>
        <v>1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1</v>
      </c>
      <c r="R9">
        <f t="shared" si="3"/>
        <v>0</v>
      </c>
      <c r="S9">
        <f t="shared" si="4"/>
        <v>0</v>
      </c>
      <c r="T9">
        <f t="shared" si="5"/>
        <v>1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1</v>
      </c>
      <c r="R14">
        <f t="shared" si="3"/>
        <v>1</v>
      </c>
      <c r="S14">
        <f t="shared" si="4"/>
        <v>0</v>
      </c>
      <c r="T14">
        <f t="shared" si="5"/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1</v>
      </c>
      <c r="R15">
        <f t="shared" si="3"/>
        <v>1</v>
      </c>
      <c r="S15">
        <f t="shared" si="4"/>
        <v>0</v>
      </c>
      <c r="T15">
        <f t="shared" si="5"/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1</v>
      </c>
      <c r="R16">
        <f t="shared" si="3"/>
        <v>1</v>
      </c>
      <c r="S16">
        <f t="shared" si="4"/>
        <v>0</v>
      </c>
      <c r="T16">
        <f t="shared" si="5"/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1</v>
      </c>
      <c r="R17">
        <f t="shared" si="3"/>
        <v>1</v>
      </c>
      <c r="S17">
        <f t="shared" si="4"/>
        <v>0</v>
      </c>
      <c r="T17">
        <f t="shared" si="5"/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1</v>
      </c>
      <c r="S18">
        <f t="shared" si="4"/>
        <v>0</v>
      </c>
      <c r="T18">
        <f t="shared" si="5"/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1</v>
      </c>
      <c r="S19">
        <f t="shared" si="4"/>
        <v>0</v>
      </c>
      <c r="T19">
        <f t="shared" si="5"/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1</v>
      </c>
      <c r="S20">
        <f t="shared" si="4"/>
        <v>0</v>
      </c>
      <c r="T20">
        <f t="shared" si="5"/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1</v>
      </c>
      <c r="S21">
        <f t="shared" si="4"/>
        <v>0</v>
      </c>
      <c r="T21">
        <f t="shared" si="5"/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5"/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1</v>
      </c>
      <c r="S23">
        <f t="shared" si="4"/>
        <v>0</v>
      </c>
      <c r="T23">
        <f t="shared" si="5"/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1</v>
      </c>
      <c r="S24">
        <f t="shared" si="4"/>
        <v>0</v>
      </c>
      <c r="T24">
        <f t="shared" si="5"/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1</v>
      </c>
      <c r="S25">
        <f t="shared" si="4"/>
        <v>0</v>
      </c>
      <c r="T25">
        <f t="shared" si="5"/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1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1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1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1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1</v>
      </c>
      <c r="R30">
        <f t="shared" si="3"/>
        <v>1</v>
      </c>
      <c r="S30">
        <f t="shared" si="4"/>
        <v>0</v>
      </c>
      <c r="T30">
        <f t="shared" si="5"/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1</v>
      </c>
      <c r="R31">
        <f t="shared" si="3"/>
        <v>1</v>
      </c>
      <c r="S31">
        <f t="shared" si="4"/>
        <v>0</v>
      </c>
      <c r="T31">
        <f t="shared" si="5"/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1</v>
      </c>
      <c r="R32">
        <f t="shared" si="3"/>
        <v>1</v>
      </c>
      <c r="S32">
        <f t="shared" si="4"/>
        <v>0</v>
      </c>
      <c r="T32">
        <f t="shared" si="5"/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1</v>
      </c>
      <c r="R33">
        <f t="shared" si="3"/>
        <v>1</v>
      </c>
      <c r="S33">
        <f t="shared" si="4"/>
        <v>0</v>
      </c>
      <c r="T33">
        <f t="shared" si="5"/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5"/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 s="4" t="s">
        <v>118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5"/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1</v>
      </c>
      <c r="S36">
        <f t="shared" si="4"/>
        <v>0</v>
      </c>
      <c r="T36">
        <f t="shared" si="5"/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5"/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1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1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1</v>
      </c>
      <c r="R42">
        <f t="shared" si="3"/>
        <v>0</v>
      </c>
      <c r="S42">
        <f t="shared" si="4"/>
        <v>1</v>
      </c>
      <c r="T42">
        <f t="shared" si="5"/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1</v>
      </c>
      <c r="R43">
        <f t="shared" si="3"/>
        <v>0</v>
      </c>
      <c r="S43">
        <f t="shared" si="4"/>
        <v>1</v>
      </c>
      <c r="T43">
        <f t="shared" si="5"/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1</v>
      </c>
      <c r="R44">
        <f t="shared" si="3"/>
        <v>0</v>
      </c>
      <c r="S44">
        <f t="shared" si="4"/>
        <v>1</v>
      </c>
      <c r="T44">
        <f t="shared" si="5"/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1</v>
      </c>
      <c r="R45">
        <f t="shared" si="3"/>
        <v>0</v>
      </c>
      <c r="S45">
        <f t="shared" si="4"/>
        <v>1</v>
      </c>
      <c r="T45">
        <f t="shared" si="5"/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1</v>
      </c>
      <c r="S46">
        <f t="shared" si="4"/>
        <v>0</v>
      </c>
      <c r="T46">
        <f t="shared" si="5"/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5"/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5"/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5"/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1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1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1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>
        <f t="shared" si="5"/>
        <v>1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>
        <f t="shared" si="5"/>
        <v>1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>
        <f t="shared" si="5"/>
        <v>1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5"/>
        <v>1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1</v>
      </c>
      <c r="R58">
        <f t="shared" si="3"/>
        <v>0</v>
      </c>
      <c r="S58">
        <f t="shared" si="4"/>
        <v>0</v>
      </c>
      <c r="T58">
        <f t="shared" si="5"/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1</v>
      </c>
      <c r="R59">
        <f t="shared" si="3"/>
        <v>0</v>
      </c>
      <c r="S59">
        <f t="shared" si="4"/>
        <v>0</v>
      </c>
      <c r="T59">
        <f t="shared" si="5"/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5"/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5"/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0</v>
      </c>
      <c r="T62">
        <f t="shared" si="5"/>
        <v>1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1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1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0</v>
      </c>
      <c r="T65">
        <f t="shared" si="5"/>
        <v>1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0</v>
      </c>
      <c r="T66">
        <f t="shared" si="5"/>
        <v>1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IF($C67="North",1,0)</f>
        <v>0</v>
      </c>
      <c r="P67">
        <f t="shared" ref="P67:P130" si="7">IF($C67="South",1,0)</f>
        <v>0</v>
      </c>
      <c r="Q67">
        <f t="shared" ref="Q67:Q130" si="8">IF($C67="East",1,0)</f>
        <v>0</v>
      </c>
      <c r="R67">
        <f t="shared" ref="R67:R130" si="9">IF($D67="Residential",1,0)</f>
        <v>0</v>
      </c>
      <c r="S67">
        <f t="shared" ref="S67:S130" si="10">IF($D67="Mall",1,0)</f>
        <v>0</v>
      </c>
      <c r="T67">
        <f t="shared" ref="T67:T130" si="11">IF($D67="High Street",1,0)</f>
        <v>1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0</v>
      </c>
      <c r="T68">
        <f t="shared" si="11"/>
        <v>1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0</v>
      </c>
      <c r="T69">
        <f t="shared" si="11"/>
        <v>1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0</v>
      </c>
      <c r="P70">
        <f t="shared" si="7"/>
        <v>0</v>
      </c>
      <c r="Q70">
        <f t="shared" si="8"/>
        <v>1</v>
      </c>
      <c r="R70">
        <f t="shared" si="9"/>
        <v>0</v>
      </c>
      <c r="S70">
        <f t="shared" si="10"/>
        <v>0</v>
      </c>
      <c r="T70">
        <f t="shared" si="11"/>
        <v>1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0</v>
      </c>
      <c r="P71">
        <f t="shared" si="7"/>
        <v>0</v>
      </c>
      <c r="Q71">
        <f t="shared" si="8"/>
        <v>1</v>
      </c>
      <c r="R71">
        <f t="shared" si="9"/>
        <v>0</v>
      </c>
      <c r="S71">
        <f t="shared" si="10"/>
        <v>0</v>
      </c>
      <c r="T71">
        <f t="shared" si="11"/>
        <v>1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0</v>
      </c>
      <c r="P72">
        <f t="shared" si="7"/>
        <v>0</v>
      </c>
      <c r="Q72">
        <f t="shared" si="8"/>
        <v>1</v>
      </c>
      <c r="R72">
        <f t="shared" si="9"/>
        <v>0</v>
      </c>
      <c r="S72">
        <f t="shared" si="10"/>
        <v>0</v>
      </c>
      <c r="T72">
        <f t="shared" si="11"/>
        <v>1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6"/>
        <v>0</v>
      </c>
      <c r="P73">
        <f t="shared" si="7"/>
        <v>0</v>
      </c>
      <c r="Q73">
        <f t="shared" si="8"/>
        <v>1</v>
      </c>
      <c r="R73">
        <f t="shared" si="9"/>
        <v>0</v>
      </c>
      <c r="S73">
        <f t="shared" si="10"/>
        <v>0</v>
      </c>
      <c r="T73">
        <f t="shared" si="11"/>
        <v>1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1</v>
      </c>
      <c r="R74">
        <f t="shared" si="9"/>
        <v>1</v>
      </c>
      <c r="S74">
        <f t="shared" si="10"/>
        <v>0</v>
      </c>
      <c r="T74">
        <f t="shared" si="11"/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1</v>
      </c>
      <c r="R75">
        <f t="shared" si="9"/>
        <v>1</v>
      </c>
      <c r="S75">
        <f t="shared" si="10"/>
        <v>0</v>
      </c>
      <c r="T75">
        <f t="shared" si="11"/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1</v>
      </c>
      <c r="R76">
        <f t="shared" si="9"/>
        <v>1</v>
      </c>
      <c r="S76">
        <f t="shared" si="10"/>
        <v>0</v>
      </c>
      <c r="T76">
        <f t="shared" si="11"/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1</v>
      </c>
      <c r="R77">
        <f t="shared" si="9"/>
        <v>1</v>
      </c>
      <c r="S77">
        <f t="shared" si="10"/>
        <v>0</v>
      </c>
      <c r="T77">
        <f t="shared" si="11"/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0</v>
      </c>
      <c r="S78">
        <f t="shared" si="10"/>
        <v>0</v>
      </c>
      <c r="T78">
        <f t="shared" si="11"/>
        <v>1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0</v>
      </c>
      <c r="S79">
        <f t="shared" si="10"/>
        <v>0</v>
      </c>
      <c r="T79">
        <f t="shared" si="11"/>
        <v>1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0</v>
      </c>
      <c r="S80">
        <f t="shared" si="10"/>
        <v>0</v>
      </c>
      <c r="T80">
        <f t="shared" si="11"/>
        <v>1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0</v>
      </c>
      <c r="S81">
        <f t="shared" si="10"/>
        <v>0</v>
      </c>
      <c r="T81">
        <f t="shared" si="11"/>
        <v>1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0</v>
      </c>
      <c r="R82">
        <f t="shared" si="9"/>
        <v>0</v>
      </c>
      <c r="S82">
        <f t="shared" si="10"/>
        <v>1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0</v>
      </c>
      <c r="R83">
        <f t="shared" si="9"/>
        <v>0</v>
      </c>
      <c r="S83">
        <f t="shared" si="10"/>
        <v>1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0</v>
      </c>
      <c r="R84">
        <f t="shared" si="9"/>
        <v>0</v>
      </c>
      <c r="S84">
        <f t="shared" si="10"/>
        <v>1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1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0</v>
      </c>
      <c r="T86">
        <f t="shared" si="11"/>
        <v>1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 s="4" t="s">
        <v>118</v>
      </c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0</v>
      </c>
      <c r="T87">
        <f t="shared" si="11"/>
        <v>1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0</v>
      </c>
      <c r="T88">
        <f t="shared" si="11"/>
        <v>1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0</v>
      </c>
      <c r="T89">
        <f t="shared" si="11"/>
        <v>1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1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1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1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1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1</v>
      </c>
      <c r="S94">
        <f t="shared" si="10"/>
        <v>0</v>
      </c>
      <c r="T94">
        <f t="shared" si="11"/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1</v>
      </c>
      <c r="S95">
        <f t="shared" si="10"/>
        <v>0</v>
      </c>
      <c r="T95">
        <f t="shared" si="11"/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1</v>
      </c>
      <c r="S96">
        <f t="shared" si="10"/>
        <v>0</v>
      </c>
      <c r="T96">
        <f t="shared" si="11"/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1</v>
      </c>
      <c r="S97">
        <f t="shared" si="10"/>
        <v>0</v>
      </c>
      <c r="T97">
        <f t="shared" si="11"/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0</v>
      </c>
      <c r="R98">
        <f t="shared" si="9"/>
        <v>0</v>
      </c>
      <c r="S98">
        <f t="shared" si="10"/>
        <v>1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0</v>
      </c>
      <c r="R99">
        <f t="shared" si="9"/>
        <v>0</v>
      </c>
      <c r="S99">
        <f t="shared" si="10"/>
        <v>1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0</v>
      </c>
      <c r="R100">
        <f t="shared" si="9"/>
        <v>0</v>
      </c>
      <c r="S100">
        <f t="shared" si="10"/>
        <v>1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0</v>
      </c>
      <c r="R101">
        <f t="shared" si="9"/>
        <v>0</v>
      </c>
      <c r="S101">
        <f t="shared" si="10"/>
        <v>1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0</v>
      </c>
      <c r="Q102">
        <f t="shared" si="8"/>
        <v>1</v>
      </c>
      <c r="R102">
        <f t="shared" si="9"/>
        <v>0</v>
      </c>
      <c r="S102">
        <f t="shared" si="10"/>
        <v>1</v>
      </c>
      <c r="T102">
        <f t="shared" si="11"/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0</v>
      </c>
      <c r="Q103">
        <f t="shared" si="8"/>
        <v>1</v>
      </c>
      <c r="R103">
        <f t="shared" si="9"/>
        <v>0</v>
      </c>
      <c r="S103">
        <f t="shared" si="10"/>
        <v>1</v>
      </c>
      <c r="T103">
        <f t="shared" si="11"/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0</v>
      </c>
      <c r="Q104">
        <f t="shared" si="8"/>
        <v>1</v>
      </c>
      <c r="R104">
        <f t="shared" si="9"/>
        <v>0</v>
      </c>
      <c r="S104">
        <f t="shared" si="10"/>
        <v>1</v>
      </c>
      <c r="T104">
        <f t="shared" si="11"/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0</v>
      </c>
      <c r="Q105">
        <f t="shared" si="8"/>
        <v>1</v>
      </c>
      <c r="R105">
        <f t="shared" si="9"/>
        <v>0</v>
      </c>
      <c r="S105">
        <f t="shared" si="10"/>
        <v>1</v>
      </c>
      <c r="T105">
        <f t="shared" si="11"/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0</v>
      </c>
      <c r="T106">
        <f t="shared" si="11"/>
        <v>1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0</v>
      </c>
      <c r="T107">
        <f t="shared" si="11"/>
        <v>1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0</v>
      </c>
      <c r="T108">
        <f t="shared" si="11"/>
        <v>1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0</v>
      </c>
      <c r="T109">
        <f t="shared" si="11"/>
        <v>1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0</v>
      </c>
      <c r="Q110">
        <f t="shared" si="8"/>
        <v>1</v>
      </c>
      <c r="R110">
        <f t="shared" si="9"/>
        <v>0</v>
      </c>
      <c r="S110">
        <f t="shared" si="10"/>
        <v>1</v>
      </c>
      <c r="T110">
        <f t="shared" si="11"/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0</v>
      </c>
      <c r="Q111">
        <f t="shared" si="8"/>
        <v>1</v>
      </c>
      <c r="R111">
        <f t="shared" si="9"/>
        <v>0</v>
      </c>
      <c r="S111">
        <f t="shared" si="10"/>
        <v>1</v>
      </c>
      <c r="T111">
        <f t="shared" si="11"/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0</v>
      </c>
      <c r="Q112">
        <f t="shared" si="8"/>
        <v>1</v>
      </c>
      <c r="R112">
        <f t="shared" si="9"/>
        <v>0</v>
      </c>
      <c r="S112">
        <f t="shared" si="10"/>
        <v>1</v>
      </c>
      <c r="T112">
        <f t="shared" si="11"/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0</v>
      </c>
      <c r="Q113">
        <f t="shared" si="8"/>
        <v>1</v>
      </c>
      <c r="R113">
        <f t="shared" si="9"/>
        <v>0</v>
      </c>
      <c r="S113">
        <f t="shared" si="10"/>
        <v>1</v>
      </c>
      <c r="T113">
        <f t="shared" si="11"/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0</v>
      </c>
      <c r="R114">
        <f t="shared" si="9"/>
        <v>0</v>
      </c>
      <c r="S114">
        <f t="shared" si="10"/>
        <v>1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0</v>
      </c>
      <c r="R115">
        <f t="shared" si="9"/>
        <v>0</v>
      </c>
      <c r="S115">
        <f t="shared" si="10"/>
        <v>1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0</v>
      </c>
      <c r="R116">
        <f t="shared" si="9"/>
        <v>0</v>
      </c>
      <c r="S116">
        <f t="shared" si="10"/>
        <v>1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0</v>
      </c>
      <c r="R117">
        <f t="shared" si="9"/>
        <v>0</v>
      </c>
      <c r="S117">
        <f t="shared" si="10"/>
        <v>1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1</v>
      </c>
      <c r="S118">
        <f t="shared" si="10"/>
        <v>0</v>
      </c>
      <c r="T118">
        <f t="shared" si="11"/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1</v>
      </c>
      <c r="S119">
        <f t="shared" si="10"/>
        <v>0</v>
      </c>
      <c r="T119">
        <f t="shared" si="11"/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1</v>
      </c>
      <c r="S120">
        <f t="shared" si="10"/>
        <v>0</v>
      </c>
      <c r="T120">
        <f t="shared" si="11"/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1</v>
      </c>
      <c r="S121">
        <f t="shared" si="10"/>
        <v>0</v>
      </c>
      <c r="T121">
        <f t="shared" si="11"/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0</v>
      </c>
      <c r="S122">
        <f t="shared" si="10"/>
        <v>0</v>
      </c>
      <c r="T122">
        <f t="shared" si="11"/>
        <v>1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0</v>
      </c>
      <c r="S123">
        <f t="shared" si="10"/>
        <v>0</v>
      </c>
      <c r="T123">
        <f t="shared" si="11"/>
        <v>1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0</v>
      </c>
      <c r="S124">
        <f t="shared" si="10"/>
        <v>0</v>
      </c>
      <c r="T124">
        <f t="shared" si="11"/>
        <v>1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0</v>
      </c>
      <c r="S125">
        <f t="shared" si="10"/>
        <v>0</v>
      </c>
      <c r="T125">
        <f t="shared" si="11"/>
        <v>1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0</v>
      </c>
      <c r="S126">
        <f t="shared" si="10"/>
        <v>0</v>
      </c>
      <c r="T126">
        <f t="shared" si="11"/>
        <v>1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0</v>
      </c>
      <c r="S127">
        <f t="shared" si="10"/>
        <v>0</v>
      </c>
      <c r="T127">
        <f t="shared" si="11"/>
        <v>1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0</v>
      </c>
      <c r="S128">
        <f t="shared" si="10"/>
        <v>0</v>
      </c>
      <c r="T128">
        <f t="shared" si="11"/>
        <v>1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0</v>
      </c>
      <c r="S129">
        <f t="shared" si="10"/>
        <v>0</v>
      </c>
      <c r="T129">
        <f t="shared" si="11"/>
        <v>1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0</v>
      </c>
      <c r="P130">
        <f t="shared" si="7"/>
        <v>0</v>
      </c>
      <c r="Q130">
        <f t="shared" si="8"/>
        <v>1</v>
      </c>
      <c r="R130">
        <f t="shared" si="9"/>
        <v>0</v>
      </c>
      <c r="S130">
        <f t="shared" si="10"/>
        <v>0</v>
      </c>
      <c r="T130">
        <f t="shared" si="11"/>
        <v>1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IF($C131="North",1,0)</f>
        <v>0</v>
      </c>
      <c r="P131">
        <f t="shared" ref="P131:P194" si="13">IF($C131="South",1,0)</f>
        <v>0</v>
      </c>
      <c r="Q131">
        <f t="shared" ref="Q131:Q194" si="14">IF($C131="East",1,0)</f>
        <v>1</v>
      </c>
      <c r="R131">
        <f t="shared" ref="R131:R194" si="15">IF($D131="Residential",1,0)</f>
        <v>0</v>
      </c>
      <c r="S131">
        <f t="shared" ref="S131:S194" si="16">IF($D131="Mall",1,0)</f>
        <v>0</v>
      </c>
      <c r="T131">
        <f t="shared" ref="T131:T194" si="17">IF($D131="High Street",1,0)</f>
        <v>1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0</v>
      </c>
      <c r="P132">
        <f t="shared" si="13"/>
        <v>0</v>
      </c>
      <c r="Q132">
        <f t="shared" si="14"/>
        <v>1</v>
      </c>
      <c r="R132">
        <f t="shared" si="15"/>
        <v>0</v>
      </c>
      <c r="S132">
        <f t="shared" si="16"/>
        <v>0</v>
      </c>
      <c r="T132">
        <f t="shared" si="17"/>
        <v>1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0</v>
      </c>
      <c r="P133">
        <f t="shared" si="13"/>
        <v>0</v>
      </c>
      <c r="Q133">
        <f t="shared" si="14"/>
        <v>1</v>
      </c>
      <c r="R133">
        <f t="shared" si="15"/>
        <v>0</v>
      </c>
      <c r="S133">
        <f t="shared" si="16"/>
        <v>0</v>
      </c>
      <c r="T133">
        <f t="shared" si="17"/>
        <v>1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0</v>
      </c>
      <c r="S134">
        <f t="shared" si="16"/>
        <v>0</v>
      </c>
      <c r="T134">
        <f t="shared" si="17"/>
        <v>1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 s="4" t="s">
        <v>118</v>
      </c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0</v>
      </c>
      <c r="S135">
        <f t="shared" si="16"/>
        <v>0</v>
      </c>
      <c r="T135">
        <f t="shared" si="17"/>
        <v>1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0</v>
      </c>
      <c r="S136">
        <f t="shared" si="16"/>
        <v>0</v>
      </c>
      <c r="T136">
        <f t="shared" si="17"/>
        <v>1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0</v>
      </c>
      <c r="S137">
        <f t="shared" si="16"/>
        <v>0</v>
      </c>
      <c r="T137">
        <f t="shared" si="17"/>
        <v>1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 s="4" t="s">
        <v>118</v>
      </c>
      <c r="M138">
        <v>633638.03</v>
      </c>
      <c r="N138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1</v>
      </c>
      <c r="S138">
        <f t="shared" si="16"/>
        <v>0</v>
      </c>
      <c r="T138">
        <f t="shared" si="17"/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1</v>
      </c>
      <c r="S139">
        <f t="shared" si="16"/>
        <v>0</v>
      </c>
      <c r="T139">
        <f t="shared" si="17"/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1</v>
      </c>
      <c r="S140">
        <f t="shared" si="16"/>
        <v>0</v>
      </c>
      <c r="T140">
        <f t="shared" si="17"/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1</v>
      </c>
      <c r="S141">
        <f t="shared" si="16"/>
        <v>0</v>
      </c>
      <c r="T141">
        <f t="shared" si="17"/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0</v>
      </c>
      <c r="T142">
        <f t="shared" si="17"/>
        <v>1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0</v>
      </c>
      <c r="T143">
        <f t="shared" si="17"/>
        <v>1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0</v>
      </c>
      <c r="T144">
        <f t="shared" si="17"/>
        <v>1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0</v>
      </c>
      <c r="T145">
        <f t="shared" si="17"/>
        <v>1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1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1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1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1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0</v>
      </c>
      <c r="P154">
        <f t="shared" si="13"/>
        <v>0</v>
      </c>
      <c r="Q154">
        <f t="shared" si="14"/>
        <v>1</v>
      </c>
      <c r="R154">
        <f t="shared" si="15"/>
        <v>0</v>
      </c>
      <c r="S154">
        <f t="shared" si="16"/>
        <v>0</v>
      </c>
      <c r="T154">
        <f t="shared" si="17"/>
        <v>1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0</v>
      </c>
      <c r="P155">
        <f t="shared" si="13"/>
        <v>0</v>
      </c>
      <c r="Q155">
        <f t="shared" si="14"/>
        <v>1</v>
      </c>
      <c r="R155">
        <f t="shared" si="15"/>
        <v>0</v>
      </c>
      <c r="S155">
        <f t="shared" si="16"/>
        <v>0</v>
      </c>
      <c r="T155">
        <f t="shared" si="17"/>
        <v>1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0</v>
      </c>
      <c r="P156">
        <f t="shared" si="13"/>
        <v>0</v>
      </c>
      <c r="Q156">
        <f t="shared" si="14"/>
        <v>1</v>
      </c>
      <c r="R156">
        <f t="shared" si="15"/>
        <v>0</v>
      </c>
      <c r="S156">
        <f t="shared" si="16"/>
        <v>0</v>
      </c>
      <c r="T156">
        <f t="shared" si="17"/>
        <v>1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0</v>
      </c>
      <c r="P157">
        <f t="shared" si="13"/>
        <v>0</v>
      </c>
      <c r="Q157">
        <f t="shared" si="14"/>
        <v>1</v>
      </c>
      <c r="R157">
        <f t="shared" si="15"/>
        <v>0</v>
      </c>
      <c r="S157">
        <f t="shared" si="16"/>
        <v>0</v>
      </c>
      <c r="T157">
        <f t="shared" si="17"/>
        <v>1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1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1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1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1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0</v>
      </c>
      <c r="S162">
        <f t="shared" si="16"/>
        <v>0</v>
      </c>
      <c r="T162">
        <f t="shared" si="17"/>
        <v>1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0</v>
      </c>
      <c r="S163">
        <f t="shared" si="16"/>
        <v>0</v>
      </c>
      <c r="T163">
        <f t="shared" si="17"/>
        <v>1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0</v>
      </c>
      <c r="S164">
        <f t="shared" si="16"/>
        <v>0</v>
      </c>
      <c r="T164">
        <f t="shared" si="17"/>
        <v>1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0</v>
      </c>
      <c r="S165">
        <f t="shared" si="16"/>
        <v>0</v>
      </c>
      <c r="T165">
        <f t="shared" si="17"/>
        <v>1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1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1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1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1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1</v>
      </c>
      <c r="R170">
        <f t="shared" si="15"/>
        <v>1</v>
      </c>
      <c r="S170">
        <f t="shared" si="16"/>
        <v>0</v>
      </c>
      <c r="T170">
        <f t="shared" si="17"/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1</v>
      </c>
      <c r="R171">
        <f t="shared" si="15"/>
        <v>1</v>
      </c>
      <c r="S171">
        <f t="shared" si="16"/>
        <v>0</v>
      </c>
      <c r="T171">
        <f t="shared" si="17"/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1</v>
      </c>
      <c r="R172">
        <f t="shared" si="15"/>
        <v>1</v>
      </c>
      <c r="S172">
        <f t="shared" si="16"/>
        <v>0</v>
      </c>
      <c r="T172">
        <f t="shared" si="17"/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1</v>
      </c>
      <c r="R173">
        <f t="shared" si="15"/>
        <v>1</v>
      </c>
      <c r="S173">
        <f t="shared" si="16"/>
        <v>0</v>
      </c>
      <c r="T173">
        <f t="shared" si="17"/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1</v>
      </c>
      <c r="R174">
        <f t="shared" si="15"/>
        <v>1</v>
      </c>
      <c r="S174">
        <f t="shared" si="16"/>
        <v>0</v>
      </c>
      <c r="T174">
        <f t="shared" si="17"/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1</v>
      </c>
      <c r="R175">
        <f t="shared" si="15"/>
        <v>1</v>
      </c>
      <c r="S175">
        <f t="shared" si="16"/>
        <v>0</v>
      </c>
      <c r="T175">
        <f t="shared" si="17"/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1</v>
      </c>
      <c r="R176">
        <f t="shared" si="15"/>
        <v>1</v>
      </c>
      <c r="S176">
        <f t="shared" si="16"/>
        <v>0</v>
      </c>
      <c r="T176">
        <f t="shared" si="17"/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1</v>
      </c>
      <c r="R177">
        <f t="shared" si="15"/>
        <v>1</v>
      </c>
      <c r="S177">
        <f t="shared" si="16"/>
        <v>0</v>
      </c>
      <c r="T177">
        <f t="shared" si="17"/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1</v>
      </c>
      <c r="S182">
        <f t="shared" si="16"/>
        <v>0</v>
      </c>
      <c r="T182">
        <f t="shared" si="17"/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1</v>
      </c>
      <c r="S183">
        <f t="shared" si="16"/>
        <v>0</v>
      </c>
      <c r="T183">
        <f t="shared" si="17"/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1</v>
      </c>
      <c r="S184">
        <f t="shared" si="16"/>
        <v>0</v>
      </c>
      <c r="T184">
        <f t="shared" si="17"/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1</v>
      </c>
      <c r="S185">
        <f t="shared" si="16"/>
        <v>0</v>
      </c>
      <c r="T185">
        <f t="shared" si="17"/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0</v>
      </c>
      <c r="S186">
        <f t="shared" si="16"/>
        <v>0</v>
      </c>
      <c r="T186">
        <f t="shared" si="17"/>
        <v>1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0</v>
      </c>
      <c r="S187">
        <f t="shared" si="16"/>
        <v>0</v>
      </c>
      <c r="T187">
        <f t="shared" si="17"/>
        <v>1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0</v>
      </c>
      <c r="S188">
        <f t="shared" si="16"/>
        <v>0</v>
      </c>
      <c r="T188">
        <f t="shared" si="17"/>
        <v>1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0</v>
      </c>
      <c r="S189">
        <f t="shared" si="16"/>
        <v>0</v>
      </c>
      <c r="T189">
        <f t="shared" si="17"/>
        <v>1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0</v>
      </c>
      <c r="P190">
        <f t="shared" si="13"/>
        <v>0</v>
      </c>
      <c r="Q190">
        <f t="shared" si="14"/>
        <v>1</v>
      </c>
      <c r="R190">
        <f t="shared" si="15"/>
        <v>0</v>
      </c>
      <c r="S190">
        <f t="shared" si="16"/>
        <v>0</v>
      </c>
      <c r="T190">
        <f t="shared" si="17"/>
        <v>1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0</v>
      </c>
      <c r="P191">
        <f t="shared" si="13"/>
        <v>0</v>
      </c>
      <c r="Q191">
        <f t="shared" si="14"/>
        <v>1</v>
      </c>
      <c r="R191">
        <f t="shared" si="15"/>
        <v>0</v>
      </c>
      <c r="S191">
        <f t="shared" si="16"/>
        <v>0</v>
      </c>
      <c r="T191">
        <f t="shared" si="17"/>
        <v>1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0</v>
      </c>
      <c r="P192">
        <f t="shared" si="13"/>
        <v>0</v>
      </c>
      <c r="Q192">
        <f t="shared" si="14"/>
        <v>1</v>
      </c>
      <c r="R192">
        <f t="shared" si="15"/>
        <v>0</v>
      </c>
      <c r="S192">
        <f t="shared" si="16"/>
        <v>0</v>
      </c>
      <c r="T192">
        <f t="shared" si="17"/>
        <v>1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0</v>
      </c>
      <c r="P193">
        <f t="shared" si="13"/>
        <v>0</v>
      </c>
      <c r="Q193">
        <f t="shared" si="14"/>
        <v>1</v>
      </c>
      <c r="R193">
        <f t="shared" si="15"/>
        <v>0</v>
      </c>
      <c r="S193">
        <f t="shared" si="16"/>
        <v>0</v>
      </c>
      <c r="T193">
        <f t="shared" si="17"/>
        <v>1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1</v>
      </c>
      <c r="S194">
        <f t="shared" si="16"/>
        <v>0</v>
      </c>
      <c r="T194">
        <f t="shared" si="17"/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IF($C195="North",1,0)</f>
        <v>0</v>
      </c>
      <c r="P195">
        <f t="shared" ref="P195:P258" si="19">IF($C195="South",1,0)</f>
        <v>0</v>
      </c>
      <c r="Q195">
        <f t="shared" ref="Q195:Q258" si="20">IF($C195="East",1,0)</f>
        <v>0</v>
      </c>
      <c r="R195">
        <f t="shared" ref="R195:R258" si="21">IF($D195="Residential",1,0)</f>
        <v>1</v>
      </c>
      <c r="S195">
        <f t="shared" ref="S195:S258" si="22">IF($D195="Mall",1,0)</f>
        <v>0</v>
      </c>
      <c r="T195">
        <f t="shared" ref="T195:T258" si="23">IF($D195="High Street",1,0)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1</v>
      </c>
      <c r="S196">
        <f t="shared" si="22"/>
        <v>0</v>
      </c>
      <c r="T196">
        <f t="shared" si="23"/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 s="4" t="s">
        <v>118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1</v>
      </c>
      <c r="S197">
        <f t="shared" si="22"/>
        <v>0</v>
      </c>
      <c r="T197">
        <f t="shared" si="23"/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1</v>
      </c>
      <c r="R202">
        <f t="shared" si="21"/>
        <v>0</v>
      </c>
      <c r="S202">
        <f t="shared" si="22"/>
        <v>0</v>
      </c>
      <c r="T202">
        <f t="shared" si="23"/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1</v>
      </c>
      <c r="R203">
        <f t="shared" si="21"/>
        <v>0</v>
      </c>
      <c r="S203">
        <f t="shared" si="22"/>
        <v>0</v>
      </c>
      <c r="T203">
        <f t="shared" si="23"/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1</v>
      </c>
      <c r="R204">
        <f t="shared" si="21"/>
        <v>0</v>
      </c>
      <c r="S204">
        <f t="shared" si="22"/>
        <v>0</v>
      </c>
      <c r="T204">
        <f t="shared" si="23"/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1</v>
      </c>
      <c r="R205">
        <f t="shared" si="21"/>
        <v>0</v>
      </c>
      <c r="S205">
        <f t="shared" si="22"/>
        <v>0</v>
      </c>
      <c r="T205">
        <f t="shared" si="23"/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0</v>
      </c>
      <c r="Q206">
        <f t="shared" si="20"/>
        <v>1</v>
      </c>
      <c r="R206">
        <f t="shared" si="21"/>
        <v>0</v>
      </c>
      <c r="S206">
        <f t="shared" si="22"/>
        <v>1</v>
      </c>
      <c r="T206">
        <f t="shared" si="23"/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0</v>
      </c>
      <c r="Q207">
        <f t="shared" si="20"/>
        <v>1</v>
      </c>
      <c r="R207">
        <f t="shared" si="21"/>
        <v>0</v>
      </c>
      <c r="S207">
        <f t="shared" si="22"/>
        <v>1</v>
      </c>
      <c r="T207">
        <f t="shared" si="23"/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0</v>
      </c>
      <c r="Q208">
        <f t="shared" si="20"/>
        <v>1</v>
      </c>
      <c r="R208">
        <f t="shared" si="21"/>
        <v>0</v>
      </c>
      <c r="S208">
        <f t="shared" si="22"/>
        <v>1</v>
      </c>
      <c r="T208">
        <f t="shared" si="23"/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0</v>
      </c>
      <c r="Q209">
        <f t="shared" si="20"/>
        <v>1</v>
      </c>
      <c r="R209">
        <f t="shared" si="21"/>
        <v>0</v>
      </c>
      <c r="S209">
        <f t="shared" si="22"/>
        <v>1</v>
      </c>
      <c r="T209">
        <f t="shared" si="23"/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0</v>
      </c>
      <c r="P210">
        <f t="shared" si="19"/>
        <v>0</v>
      </c>
      <c r="Q210">
        <f t="shared" si="20"/>
        <v>1</v>
      </c>
      <c r="R210">
        <f t="shared" si="21"/>
        <v>0</v>
      </c>
      <c r="S210">
        <f t="shared" si="22"/>
        <v>0</v>
      </c>
      <c r="T210">
        <f t="shared" si="23"/>
        <v>1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0</v>
      </c>
      <c r="P211">
        <f t="shared" si="19"/>
        <v>0</v>
      </c>
      <c r="Q211">
        <f t="shared" si="20"/>
        <v>1</v>
      </c>
      <c r="R211">
        <f t="shared" si="21"/>
        <v>0</v>
      </c>
      <c r="S211">
        <f t="shared" si="22"/>
        <v>0</v>
      </c>
      <c r="T211">
        <f t="shared" si="23"/>
        <v>1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0</v>
      </c>
      <c r="P212">
        <f t="shared" si="19"/>
        <v>0</v>
      </c>
      <c r="Q212">
        <f t="shared" si="20"/>
        <v>1</v>
      </c>
      <c r="R212">
        <f t="shared" si="21"/>
        <v>0</v>
      </c>
      <c r="S212">
        <f t="shared" si="22"/>
        <v>0</v>
      </c>
      <c r="T212">
        <f t="shared" si="23"/>
        <v>1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0</v>
      </c>
      <c r="P213">
        <f t="shared" si="19"/>
        <v>0</v>
      </c>
      <c r="Q213">
        <f t="shared" si="20"/>
        <v>1</v>
      </c>
      <c r="R213">
        <f t="shared" si="21"/>
        <v>0</v>
      </c>
      <c r="S213">
        <f t="shared" si="22"/>
        <v>0</v>
      </c>
      <c r="T213">
        <f t="shared" si="23"/>
        <v>1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1</v>
      </c>
      <c r="S214">
        <f t="shared" si="22"/>
        <v>0</v>
      </c>
      <c r="T214">
        <f t="shared" si="23"/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1</v>
      </c>
      <c r="S215">
        <f t="shared" si="22"/>
        <v>0</v>
      </c>
      <c r="T215">
        <f t="shared" si="23"/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1</v>
      </c>
      <c r="S216">
        <f t="shared" si="22"/>
        <v>0</v>
      </c>
      <c r="T216">
        <f t="shared" si="23"/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1</v>
      </c>
      <c r="S217">
        <f t="shared" si="22"/>
        <v>0</v>
      </c>
      <c r="T217">
        <f t="shared" si="23"/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0</v>
      </c>
      <c r="P222">
        <f t="shared" si="19"/>
        <v>0</v>
      </c>
      <c r="Q222">
        <f t="shared" si="20"/>
        <v>1</v>
      </c>
      <c r="R222">
        <f t="shared" si="21"/>
        <v>0</v>
      </c>
      <c r="S222">
        <f t="shared" si="22"/>
        <v>0</v>
      </c>
      <c r="T222">
        <f t="shared" si="23"/>
        <v>1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0</v>
      </c>
      <c r="P223">
        <f t="shared" si="19"/>
        <v>0</v>
      </c>
      <c r="Q223">
        <f t="shared" si="20"/>
        <v>1</v>
      </c>
      <c r="R223">
        <f t="shared" si="21"/>
        <v>0</v>
      </c>
      <c r="S223">
        <f t="shared" si="22"/>
        <v>0</v>
      </c>
      <c r="T223">
        <f t="shared" si="23"/>
        <v>1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0</v>
      </c>
      <c r="P224">
        <f t="shared" si="19"/>
        <v>0</v>
      </c>
      <c r="Q224">
        <f t="shared" si="20"/>
        <v>1</v>
      </c>
      <c r="R224">
        <f t="shared" si="21"/>
        <v>0</v>
      </c>
      <c r="S224">
        <f t="shared" si="22"/>
        <v>0</v>
      </c>
      <c r="T224">
        <f t="shared" si="23"/>
        <v>1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0</v>
      </c>
      <c r="P225">
        <f t="shared" si="19"/>
        <v>0</v>
      </c>
      <c r="Q225">
        <f t="shared" si="20"/>
        <v>1</v>
      </c>
      <c r="R225">
        <f t="shared" si="21"/>
        <v>0</v>
      </c>
      <c r="S225">
        <f t="shared" si="22"/>
        <v>0</v>
      </c>
      <c r="T225">
        <f t="shared" si="23"/>
        <v>1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0</v>
      </c>
      <c r="Q226">
        <f t="shared" si="20"/>
        <v>1</v>
      </c>
      <c r="R226">
        <f t="shared" si="21"/>
        <v>0</v>
      </c>
      <c r="S226">
        <f t="shared" si="22"/>
        <v>1</v>
      </c>
      <c r="T226">
        <f t="shared" si="23"/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0</v>
      </c>
      <c r="Q227">
        <f t="shared" si="20"/>
        <v>1</v>
      </c>
      <c r="R227">
        <f t="shared" si="21"/>
        <v>0</v>
      </c>
      <c r="S227">
        <f t="shared" si="22"/>
        <v>1</v>
      </c>
      <c r="T227">
        <f t="shared" si="23"/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0</v>
      </c>
      <c r="Q228">
        <f t="shared" si="20"/>
        <v>1</v>
      </c>
      <c r="R228">
        <f t="shared" si="21"/>
        <v>0</v>
      </c>
      <c r="S228">
        <f t="shared" si="22"/>
        <v>1</v>
      </c>
      <c r="T228">
        <f t="shared" si="23"/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 s="4" t="s">
        <v>118</v>
      </c>
      <c r="M229">
        <v>529598.93999999994</v>
      </c>
      <c r="N229">
        <v>84334.33</v>
      </c>
      <c r="O229">
        <f t="shared" si="18"/>
        <v>0</v>
      </c>
      <c r="P229">
        <f t="shared" si="19"/>
        <v>0</v>
      </c>
      <c r="Q229">
        <f t="shared" si="20"/>
        <v>1</v>
      </c>
      <c r="R229">
        <f t="shared" si="21"/>
        <v>0</v>
      </c>
      <c r="S229">
        <f t="shared" si="22"/>
        <v>1</v>
      </c>
      <c r="T229">
        <f t="shared" si="23"/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0</v>
      </c>
      <c r="P230">
        <f t="shared" si="19"/>
        <v>0</v>
      </c>
      <c r="Q230">
        <f t="shared" si="20"/>
        <v>1</v>
      </c>
      <c r="R230">
        <f t="shared" si="21"/>
        <v>0</v>
      </c>
      <c r="S230">
        <f t="shared" si="22"/>
        <v>0</v>
      </c>
      <c r="T230">
        <f t="shared" si="23"/>
        <v>1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0</v>
      </c>
      <c r="P231">
        <f t="shared" si="19"/>
        <v>0</v>
      </c>
      <c r="Q231">
        <f t="shared" si="20"/>
        <v>1</v>
      </c>
      <c r="R231">
        <f t="shared" si="21"/>
        <v>0</v>
      </c>
      <c r="S231">
        <f t="shared" si="22"/>
        <v>0</v>
      </c>
      <c r="T231">
        <f t="shared" si="23"/>
        <v>1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0</v>
      </c>
      <c r="P232">
        <f t="shared" si="19"/>
        <v>0</v>
      </c>
      <c r="Q232">
        <f t="shared" si="20"/>
        <v>1</v>
      </c>
      <c r="R232">
        <f t="shared" si="21"/>
        <v>0</v>
      </c>
      <c r="S232">
        <f t="shared" si="22"/>
        <v>0</v>
      </c>
      <c r="T232">
        <f t="shared" si="23"/>
        <v>1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0</v>
      </c>
      <c r="P233">
        <f t="shared" si="19"/>
        <v>0</v>
      </c>
      <c r="Q233">
        <f t="shared" si="20"/>
        <v>1</v>
      </c>
      <c r="R233">
        <f t="shared" si="21"/>
        <v>0</v>
      </c>
      <c r="S233">
        <f t="shared" si="22"/>
        <v>0</v>
      </c>
      <c r="T233">
        <f t="shared" si="23"/>
        <v>1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1</v>
      </c>
      <c r="S234">
        <f t="shared" si="22"/>
        <v>0</v>
      </c>
      <c r="T234">
        <f t="shared" si="23"/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1</v>
      </c>
      <c r="S235">
        <f t="shared" si="22"/>
        <v>0</v>
      </c>
      <c r="T235">
        <f t="shared" si="23"/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1</v>
      </c>
      <c r="S236">
        <f t="shared" si="22"/>
        <v>0</v>
      </c>
      <c r="T236">
        <f t="shared" si="23"/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1</v>
      </c>
      <c r="S237">
        <f t="shared" si="22"/>
        <v>0</v>
      </c>
      <c r="T237">
        <f t="shared" si="23"/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0</v>
      </c>
      <c r="R238">
        <f t="shared" si="21"/>
        <v>0</v>
      </c>
      <c r="S238">
        <f t="shared" si="22"/>
        <v>1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0</v>
      </c>
      <c r="R239">
        <f t="shared" si="21"/>
        <v>0</v>
      </c>
      <c r="S239">
        <f t="shared" si="22"/>
        <v>1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0</v>
      </c>
      <c r="R240">
        <f t="shared" si="21"/>
        <v>0</v>
      </c>
      <c r="S240">
        <f t="shared" si="22"/>
        <v>1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0</v>
      </c>
      <c r="R241">
        <f t="shared" si="21"/>
        <v>0</v>
      </c>
      <c r="S241">
        <f t="shared" si="22"/>
        <v>1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0</v>
      </c>
      <c r="T242">
        <f t="shared" si="23"/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0</v>
      </c>
      <c r="T243">
        <f t="shared" si="23"/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0</v>
      </c>
      <c r="T244">
        <f t="shared" si="23"/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0</v>
      </c>
      <c r="T245">
        <f t="shared" si="23"/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0</v>
      </c>
      <c r="P246">
        <f t="shared" si="19"/>
        <v>0</v>
      </c>
      <c r="Q246">
        <f t="shared" si="20"/>
        <v>1</v>
      </c>
      <c r="R246">
        <f t="shared" si="21"/>
        <v>0</v>
      </c>
      <c r="S246">
        <f t="shared" si="22"/>
        <v>0</v>
      </c>
      <c r="T246">
        <f t="shared" si="23"/>
        <v>1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0</v>
      </c>
      <c r="P247">
        <f t="shared" si="19"/>
        <v>0</v>
      </c>
      <c r="Q247">
        <f t="shared" si="20"/>
        <v>1</v>
      </c>
      <c r="R247">
        <f t="shared" si="21"/>
        <v>0</v>
      </c>
      <c r="S247">
        <f t="shared" si="22"/>
        <v>0</v>
      </c>
      <c r="T247">
        <f t="shared" si="23"/>
        <v>1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0</v>
      </c>
      <c r="P248">
        <f t="shared" si="19"/>
        <v>0</v>
      </c>
      <c r="Q248">
        <f t="shared" si="20"/>
        <v>1</v>
      </c>
      <c r="R248">
        <f t="shared" si="21"/>
        <v>0</v>
      </c>
      <c r="S248">
        <f t="shared" si="22"/>
        <v>0</v>
      </c>
      <c r="T248">
        <f t="shared" si="23"/>
        <v>1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0</v>
      </c>
      <c r="P249">
        <f t="shared" si="19"/>
        <v>0</v>
      </c>
      <c r="Q249">
        <f t="shared" si="20"/>
        <v>1</v>
      </c>
      <c r="R249">
        <f t="shared" si="21"/>
        <v>0</v>
      </c>
      <c r="S249">
        <f t="shared" si="22"/>
        <v>0</v>
      </c>
      <c r="T249">
        <f t="shared" si="23"/>
        <v>1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0</v>
      </c>
      <c r="S250">
        <f t="shared" si="22"/>
        <v>0</v>
      </c>
      <c r="T250">
        <f t="shared" si="23"/>
        <v>1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0</v>
      </c>
      <c r="S251">
        <f t="shared" si="22"/>
        <v>0</v>
      </c>
      <c r="T251">
        <f t="shared" si="23"/>
        <v>1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0</v>
      </c>
      <c r="S252">
        <f t="shared" si="22"/>
        <v>0</v>
      </c>
      <c r="T252">
        <f t="shared" si="23"/>
        <v>1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0</v>
      </c>
      <c r="S253">
        <f t="shared" si="22"/>
        <v>0</v>
      </c>
      <c r="T253">
        <f t="shared" si="23"/>
        <v>1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0</v>
      </c>
      <c r="T254">
        <f t="shared" si="23"/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0</v>
      </c>
      <c r="T255">
        <f t="shared" si="23"/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0</v>
      </c>
      <c r="T256">
        <f t="shared" si="23"/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0</v>
      </c>
      <c r="T257">
        <f t="shared" si="23"/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1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IF($C259="North",1,0)</f>
        <v>0</v>
      </c>
      <c r="P259">
        <f t="shared" ref="P259:P321" si="25">IF($C259="South",1,0)</f>
        <v>1</v>
      </c>
      <c r="Q259">
        <f t="shared" ref="Q259:Q321" si="26">IF($C259="East",1,0)</f>
        <v>0</v>
      </c>
      <c r="R259">
        <f t="shared" ref="R259:R321" si="27">IF($D259="Residential",1,0)</f>
        <v>0</v>
      </c>
      <c r="S259">
        <f t="shared" ref="S259:S321" si="28">IF($D259="Mall",1,0)</f>
        <v>1</v>
      </c>
      <c r="T259">
        <f t="shared" ref="T259:T321" si="29">IF($D259="High Street",1,0)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1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1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0</v>
      </c>
      <c r="T262">
        <f t="shared" si="29"/>
        <v>1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0</v>
      </c>
      <c r="T263">
        <f t="shared" si="29"/>
        <v>1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0</v>
      </c>
      <c r="T264">
        <f t="shared" si="29"/>
        <v>1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0</v>
      </c>
      <c r="T265">
        <f t="shared" si="29"/>
        <v>1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0</v>
      </c>
      <c r="P266">
        <f t="shared" si="25"/>
        <v>0</v>
      </c>
      <c r="Q266">
        <f t="shared" si="26"/>
        <v>1</v>
      </c>
      <c r="R266">
        <f t="shared" si="27"/>
        <v>0</v>
      </c>
      <c r="S266">
        <f t="shared" si="28"/>
        <v>0</v>
      </c>
      <c r="T266">
        <f t="shared" si="29"/>
        <v>1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0</v>
      </c>
      <c r="P267">
        <f t="shared" si="25"/>
        <v>0</v>
      </c>
      <c r="Q267">
        <f t="shared" si="26"/>
        <v>1</v>
      </c>
      <c r="R267">
        <f t="shared" si="27"/>
        <v>0</v>
      </c>
      <c r="S267">
        <f t="shared" si="28"/>
        <v>0</v>
      </c>
      <c r="T267">
        <f t="shared" si="29"/>
        <v>1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0</v>
      </c>
      <c r="P268">
        <f t="shared" si="25"/>
        <v>0</v>
      </c>
      <c r="Q268">
        <f t="shared" si="26"/>
        <v>1</v>
      </c>
      <c r="R268">
        <f t="shared" si="27"/>
        <v>0</v>
      </c>
      <c r="S268">
        <f t="shared" si="28"/>
        <v>0</v>
      </c>
      <c r="T268">
        <f t="shared" si="29"/>
        <v>1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0</v>
      </c>
      <c r="P269">
        <f t="shared" si="25"/>
        <v>0</v>
      </c>
      <c r="Q269">
        <f t="shared" si="26"/>
        <v>1</v>
      </c>
      <c r="R269">
        <f t="shared" si="27"/>
        <v>0</v>
      </c>
      <c r="S269">
        <f t="shared" si="28"/>
        <v>0</v>
      </c>
      <c r="T269">
        <f t="shared" si="29"/>
        <v>1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0</v>
      </c>
      <c r="Q270">
        <f t="shared" si="26"/>
        <v>1</v>
      </c>
      <c r="R270">
        <f t="shared" si="27"/>
        <v>0</v>
      </c>
      <c r="S270">
        <f t="shared" si="28"/>
        <v>1</v>
      </c>
      <c r="T270">
        <f t="shared" si="29"/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0</v>
      </c>
      <c r="Q271">
        <f t="shared" si="26"/>
        <v>1</v>
      </c>
      <c r="R271">
        <f t="shared" si="27"/>
        <v>0</v>
      </c>
      <c r="S271">
        <f t="shared" si="28"/>
        <v>1</v>
      </c>
      <c r="T271">
        <f t="shared" si="29"/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0</v>
      </c>
      <c r="Q272">
        <f t="shared" si="26"/>
        <v>1</v>
      </c>
      <c r="R272">
        <f t="shared" si="27"/>
        <v>0</v>
      </c>
      <c r="S272">
        <f t="shared" si="28"/>
        <v>1</v>
      </c>
      <c r="T272">
        <f t="shared" si="29"/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0</v>
      </c>
      <c r="Q273">
        <f t="shared" si="26"/>
        <v>1</v>
      </c>
      <c r="R273">
        <f t="shared" si="27"/>
        <v>0</v>
      </c>
      <c r="S273">
        <f t="shared" si="28"/>
        <v>1</v>
      </c>
      <c r="T273">
        <f t="shared" si="29"/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0</v>
      </c>
      <c r="T274">
        <f t="shared" si="29"/>
        <v>1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0</v>
      </c>
      <c r="T275">
        <f t="shared" si="29"/>
        <v>1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0</v>
      </c>
      <c r="T276">
        <f t="shared" si="29"/>
        <v>1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0</v>
      </c>
      <c r="T277">
        <f t="shared" si="29"/>
        <v>1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1</v>
      </c>
      <c r="S278">
        <f t="shared" si="28"/>
        <v>0</v>
      </c>
      <c r="T278">
        <f t="shared" si="29"/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1</v>
      </c>
      <c r="S279">
        <f t="shared" si="28"/>
        <v>0</v>
      </c>
      <c r="T279">
        <f t="shared" si="29"/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1</v>
      </c>
      <c r="S280">
        <f t="shared" si="28"/>
        <v>0</v>
      </c>
      <c r="T280">
        <f t="shared" si="29"/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1</v>
      </c>
      <c r="S281">
        <f t="shared" si="28"/>
        <v>0</v>
      </c>
      <c r="T281">
        <f t="shared" si="29"/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0</v>
      </c>
      <c r="S282">
        <f t="shared" si="28"/>
        <v>0</v>
      </c>
      <c r="T282">
        <f t="shared" si="29"/>
        <v>1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0</v>
      </c>
      <c r="S283">
        <f t="shared" si="28"/>
        <v>0</v>
      </c>
      <c r="T283">
        <f t="shared" si="29"/>
        <v>1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0</v>
      </c>
      <c r="S284">
        <f t="shared" si="28"/>
        <v>0</v>
      </c>
      <c r="T284">
        <f t="shared" si="29"/>
        <v>1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0</v>
      </c>
      <c r="S285">
        <f t="shared" si="28"/>
        <v>0</v>
      </c>
      <c r="T285">
        <f t="shared" si="29"/>
        <v>1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1</v>
      </c>
      <c r="S286">
        <f t="shared" si="28"/>
        <v>0</v>
      </c>
      <c r="T286">
        <f t="shared" si="29"/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1</v>
      </c>
      <c r="S287">
        <f t="shared" si="28"/>
        <v>0</v>
      </c>
      <c r="T287">
        <f t="shared" si="29"/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1</v>
      </c>
      <c r="S288">
        <f t="shared" si="28"/>
        <v>0</v>
      </c>
      <c r="T288">
        <f t="shared" si="29"/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1</v>
      </c>
      <c r="S289">
        <f t="shared" si="28"/>
        <v>0</v>
      </c>
      <c r="T289">
        <f t="shared" si="29"/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1</v>
      </c>
      <c r="R290">
        <f t="shared" si="27"/>
        <v>1</v>
      </c>
      <c r="S290">
        <f t="shared" si="28"/>
        <v>0</v>
      </c>
      <c r="T290">
        <f t="shared" si="29"/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1</v>
      </c>
      <c r="R291">
        <f t="shared" si="27"/>
        <v>1</v>
      </c>
      <c r="S291">
        <f t="shared" si="28"/>
        <v>0</v>
      </c>
      <c r="T291">
        <f t="shared" si="29"/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1</v>
      </c>
      <c r="R292">
        <f t="shared" si="27"/>
        <v>1</v>
      </c>
      <c r="S292">
        <f t="shared" si="28"/>
        <v>0</v>
      </c>
      <c r="T292">
        <f t="shared" si="29"/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1</v>
      </c>
      <c r="R293">
        <f t="shared" si="27"/>
        <v>1</v>
      </c>
      <c r="S293">
        <f t="shared" si="28"/>
        <v>0</v>
      </c>
      <c r="T293">
        <f t="shared" si="29"/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0</v>
      </c>
      <c r="T294">
        <f t="shared" si="29"/>
        <v>1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0</v>
      </c>
      <c r="T295">
        <f t="shared" si="29"/>
        <v>1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0</v>
      </c>
      <c r="T296">
        <f t="shared" si="29"/>
        <v>1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0</v>
      </c>
      <c r="T297">
        <f t="shared" si="29"/>
        <v>1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0</v>
      </c>
      <c r="T298">
        <f t="shared" si="29"/>
        <v>1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0</v>
      </c>
      <c r="T299">
        <f t="shared" si="29"/>
        <v>1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0</v>
      </c>
      <c r="T300">
        <f t="shared" si="29"/>
        <v>1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0</v>
      </c>
      <c r="T301">
        <f t="shared" si="29"/>
        <v>1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1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1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1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1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1</v>
      </c>
      <c r="S306">
        <f t="shared" si="28"/>
        <v>0</v>
      </c>
      <c r="T306">
        <f t="shared" si="29"/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1</v>
      </c>
      <c r="S307">
        <f t="shared" si="28"/>
        <v>0</v>
      </c>
      <c r="T307">
        <f t="shared" si="29"/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1</v>
      </c>
      <c r="S308">
        <f t="shared" si="28"/>
        <v>0</v>
      </c>
      <c r="T308">
        <f t="shared" si="29"/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1</v>
      </c>
      <c r="S309">
        <f t="shared" si="28"/>
        <v>0</v>
      </c>
      <c r="T309">
        <f t="shared" si="29"/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0</v>
      </c>
      <c r="S310">
        <f t="shared" si="28"/>
        <v>0</v>
      </c>
      <c r="T310">
        <f t="shared" si="29"/>
        <v>1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0</v>
      </c>
      <c r="S311">
        <f t="shared" si="28"/>
        <v>0</v>
      </c>
      <c r="T311">
        <f t="shared" si="29"/>
        <v>1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0</v>
      </c>
      <c r="S312">
        <f t="shared" si="28"/>
        <v>0</v>
      </c>
      <c r="T312">
        <f t="shared" si="29"/>
        <v>1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 s="4" t="s">
        <v>118</v>
      </c>
      <c r="M313">
        <v>771129.07</v>
      </c>
      <c r="N313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0</v>
      </c>
      <c r="S313">
        <f t="shared" si="28"/>
        <v>0</v>
      </c>
      <c r="T313">
        <f t="shared" si="29"/>
        <v>1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 s="4" t="s">
        <v>118</v>
      </c>
      <c r="M315">
        <v>688368.46</v>
      </c>
      <c r="N315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1</v>
      </c>
      <c r="R318">
        <f t="shared" si="27"/>
        <v>1</v>
      </c>
      <c r="S318">
        <f t="shared" si="28"/>
        <v>0</v>
      </c>
      <c r="T318">
        <f t="shared" si="29"/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1</v>
      </c>
      <c r="R319">
        <f t="shared" si="27"/>
        <v>1</v>
      </c>
      <c r="S319">
        <f t="shared" si="28"/>
        <v>0</v>
      </c>
      <c r="T319">
        <f t="shared" si="29"/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1</v>
      </c>
      <c r="R320">
        <f t="shared" si="27"/>
        <v>1</v>
      </c>
      <c r="S320">
        <f t="shared" si="28"/>
        <v>0</v>
      </c>
      <c r="T320">
        <f t="shared" si="29"/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1</v>
      </c>
      <c r="R321">
        <f t="shared" si="27"/>
        <v>1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6C99-B8CE-294D-9711-F9C6DC0B935B}">
  <dimension ref="A3:I66"/>
  <sheetViews>
    <sheetView zoomScale="140" zoomScaleNormal="140" workbookViewId="0">
      <selection activeCell="J27" sqref="J27"/>
    </sheetView>
  </sheetViews>
  <sheetFormatPr baseColWidth="10" defaultRowHeight="14"/>
  <sheetData>
    <row r="3" spans="1:6">
      <c r="A3" s="7" t="s">
        <v>125</v>
      </c>
      <c r="B3" s="7"/>
      <c r="C3" s="7"/>
    </row>
    <row r="5" spans="1:6">
      <c r="A5" t="s">
        <v>126</v>
      </c>
    </row>
    <row r="6" spans="1:6" ht="15" thickBot="1"/>
    <row r="7" spans="1:6" ht="15">
      <c r="A7" s="11" t="s">
        <v>127</v>
      </c>
      <c r="B7" s="11"/>
    </row>
    <row r="8" spans="1:6">
      <c r="A8" s="8" t="s">
        <v>128</v>
      </c>
      <c r="B8" s="8">
        <v>0.40895561021322352</v>
      </c>
    </row>
    <row r="9" spans="1:6">
      <c r="A9" s="8" t="s">
        <v>129</v>
      </c>
      <c r="B9" s="8">
        <v>0.16724469112487</v>
      </c>
    </row>
    <row r="10" spans="1:6">
      <c r="A10" s="8" t="s">
        <v>130</v>
      </c>
      <c r="B10" s="8">
        <v>0.16462596373847024</v>
      </c>
    </row>
    <row r="11" spans="1:6">
      <c r="A11" s="8" t="s">
        <v>131</v>
      </c>
      <c r="B11" s="8">
        <v>94846.03383215853</v>
      </c>
    </row>
    <row r="12" spans="1:6" ht="15" thickBot="1">
      <c r="A12" s="9" t="s">
        <v>132</v>
      </c>
      <c r="B12" s="9">
        <v>320</v>
      </c>
    </row>
    <row r="14" spans="1:6" ht="15" thickBot="1">
      <c r="A14" t="s">
        <v>133</v>
      </c>
    </row>
    <row r="15" spans="1:6" ht="15">
      <c r="A15" s="10"/>
      <c r="B15" s="10" t="s">
        <v>138</v>
      </c>
      <c r="C15" s="10" t="s">
        <v>139</v>
      </c>
      <c r="D15" s="10" t="s">
        <v>140</v>
      </c>
      <c r="E15" s="10" t="s">
        <v>141</v>
      </c>
      <c r="F15" s="10" t="s">
        <v>142</v>
      </c>
    </row>
    <row r="16" spans="1:6">
      <c r="A16" s="8" t="s">
        <v>134</v>
      </c>
      <c r="B16" s="8">
        <v>1</v>
      </c>
      <c r="C16" s="8">
        <v>574513714277.01416</v>
      </c>
      <c r="D16" s="8">
        <v>574513714277.01416</v>
      </c>
      <c r="E16" s="8">
        <v>63.864872683367629</v>
      </c>
      <c r="F16" s="8">
        <v>2.4800615101359619E-14</v>
      </c>
    </row>
    <row r="17" spans="1:9">
      <c r="A17" s="8" t="s">
        <v>135</v>
      </c>
      <c r="B17" s="8">
        <v>318</v>
      </c>
      <c r="C17" s="8">
        <v>2860654902513.7251</v>
      </c>
      <c r="D17" s="8">
        <v>8995770133.6909599</v>
      </c>
      <c r="E17" s="8"/>
      <c r="F17" s="8"/>
    </row>
    <row r="18" spans="1:9" ht="15" thickBot="1">
      <c r="A18" s="9" t="s">
        <v>136</v>
      </c>
      <c r="B18" s="9">
        <v>319</v>
      </c>
      <c r="C18" s="9">
        <v>3435168616790.7393</v>
      </c>
      <c r="D18" s="9"/>
      <c r="E18" s="9"/>
      <c r="F18" s="9"/>
    </row>
    <row r="19" spans="1:9" ht="15" thickBot="1"/>
    <row r="20" spans="1:9" ht="15">
      <c r="A20" s="10"/>
      <c r="B20" s="10" t="s">
        <v>143</v>
      </c>
      <c r="C20" s="10" t="s">
        <v>131</v>
      </c>
      <c r="D20" s="10" t="s">
        <v>144</v>
      </c>
      <c r="E20" s="10" t="s">
        <v>145</v>
      </c>
      <c r="F20" s="10" t="s">
        <v>146</v>
      </c>
      <c r="G20" s="10" t="s">
        <v>147</v>
      </c>
      <c r="H20" s="10" t="s">
        <v>148</v>
      </c>
      <c r="I20" s="10" t="s">
        <v>149</v>
      </c>
    </row>
    <row r="21" spans="1:9">
      <c r="A21" s="8" t="s">
        <v>137</v>
      </c>
      <c r="B21" s="8">
        <v>560777.34544943704</v>
      </c>
      <c r="C21" s="8">
        <v>15906.905953068674</v>
      </c>
      <c r="D21" s="8">
        <v>35.253703460870398</v>
      </c>
      <c r="E21" s="8">
        <v>6.952876876284135E-112</v>
      </c>
      <c r="F21" s="8">
        <v>529481.27234763221</v>
      </c>
      <c r="G21" s="8">
        <v>592073.41855124186</v>
      </c>
      <c r="H21" s="8">
        <v>529481.27234763221</v>
      </c>
      <c r="I21" s="8">
        <v>592073.41855124186</v>
      </c>
    </row>
    <row r="22" spans="1:9" ht="15" thickBot="1">
      <c r="A22" s="9" t="s">
        <v>4</v>
      </c>
      <c r="B22" s="9">
        <v>2.1295753275898281</v>
      </c>
      <c r="C22" s="9">
        <v>0.26647838106932348</v>
      </c>
      <c r="D22" s="9">
        <v>7.991550080138869</v>
      </c>
      <c r="E22" s="9">
        <v>2.4800615101360068E-14</v>
      </c>
      <c r="F22" s="9">
        <v>1.6052919176921738</v>
      </c>
      <c r="G22" s="9">
        <v>2.6538587374874827</v>
      </c>
      <c r="H22" s="9">
        <v>1.6052919176921738</v>
      </c>
      <c r="I22" s="9">
        <v>2.6538587374874827</v>
      </c>
    </row>
    <row r="25" spans="1:9">
      <c r="A25" s="7" t="s">
        <v>150</v>
      </c>
      <c r="B25" s="7"/>
      <c r="C25" s="7"/>
    </row>
    <row r="27" spans="1:9">
      <c r="A27" t="s">
        <v>126</v>
      </c>
    </row>
    <row r="28" spans="1:9" ht="15" thickBot="1"/>
    <row r="29" spans="1:9" ht="15">
      <c r="A29" s="11" t="s">
        <v>127</v>
      </c>
      <c r="B29" s="11"/>
    </row>
    <row r="30" spans="1:9">
      <c r="A30" s="8" t="s">
        <v>128</v>
      </c>
      <c r="B30" s="8">
        <v>0.85807070804410468</v>
      </c>
    </row>
    <row r="31" spans="1:9">
      <c r="A31" s="8" t="s">
        <v>129</v>
      </c>
      <c r="B31" s="8">
        <v>0.73628534000331114</v>
      </c>
    </row>
    <row r="32" spans="1:9">
      <c r="A32" s="8" t="s">
        <v>130</v>
      </c>
      <c r="B32" s="8">
        <v>0.73545604861967373</v>
      </c>
    </row>
    <row r="33" spans="1:9">
      <c r="A33" s="8" t="s">
        <v>131</v>
      </c>
      <c r="B33" s="8">
        <v>53373.736380790499</v>
      </c>
    </row>
    <row r="34" spans="1:9" ht="15" thickBot="1">
      <c r="A34" s="9" t="s">
        <v>132</v>
      </c>
      <c r="B34" s="9">
        <v>320</v>
      </c>
    </row>
    <row r="36" spans="1:9" ht="15" thickBot="1">
      <c r="A36" t="s">
        <v>133</v>
      </c>
    </row>
    <row r="37" spans="1:9" ht="15">
      <c r="A37" s="10"/>
      <c r="B37" s="10" t="s">
        <v>138</v>
      </c>
      <c r="C37" s="10" t="s">
        <v>139</v>
      </c>
      <c r="D37" s="10" t="s">
        <v>140</v>
      </c>
      <c r="E37" s="10" t="s">
        <v>141</v>
      </c>
      <c r="F37" s="10" t="s">
        <v>142</v>
      </c>
    </row>
    <row r="38" spans="1:9">
      <c r="A38" s="8" t="s">
        <v>134</v>
      </c>
      <c r="B38" s="8">
        <v>1</v>
      </c>
      <c r="C38" s="8">
        <v>2529264292982.4736</v>
      </c>
      <c r="D38" s="8">
        <v>2529264292982.4736</v>
      </c>
      <c r="E38" s="8">
        <v>887.84877611276033</v>
      </c>
      <c r="F38" s="8">
        <v>4.7503615090053331E-94</v>
      </c>
    </row>
    <row r="39" spans="1:9">
      <c r="A39" s="8" t="s">
        <v>135</v>
      </c>
      <c r="B39" s="8">
        <v>318</v>
      </c>
      <c r="C39" s="8">
        <v>905904323808.26587</v>
      </c>
      <c r="D39" s="8">
        <v>2848755735.246119</v>
      </c>
      <c r="E39" s="8"/>
      <c r="F39" s="8"/>
    </row>
    <row r="40" spans="1:9" ht="15" thickBot="1">
      <c r="A40" s="9" t="s">
        <v>136</v>
      </c>
      <c r="B40" s="9">
        <v>319</v>
      </c>
      <c r="C40" s="9">
        <v>3435168616790.7393</v>
      </c>
      <c r="D40" s="9"/>
      <c r="E40" s="9"/>
      <c r="F40" s="9"/>
    </row>
    <row r="41" spans="1:9" ht="15" thickBot="1"/>
    <row r="42" spans="1:9" ht="15">
      <c r="A42" s="10"/>
      <c r="B42" s="10" t="s">
        <v>143</v>
      </c>
      <c r="C42" s="10" t="s">
        <v>131</v>
      </c>
      <c r="D42" s="10" t="s">
        <v>144</v>
      </c>
      <c r="E42" s="10" t="s">
        <v>145</v>
      </c>
      <c r="F42" s="10" t="s">
        <v>146</v>
      </c>
      <c r="G42" s="10" t="s">
        <v>147</v>
      </c>
      <c r="H42" s="10" t="s">
        <v>148</v>
      </c>
      <c r="I42" s="10" t="s">
        <v>149</v>
      </c>
    </row>
    <row r="43" spans="1:9">
      <c r="A43" s="8" t="s">
        <v>137</v>
      </c>
      <c r="B43" s="8">
        <v>446410.58293395344</v>
      </c>
      <c r="C43" s="8">
        <v>8407.7382630059928</v>
      </c>
      <c r="D43" s="8">
        <v>53.095204556754318</v>
      </c>
      <c r="E43" s="8">
        <v>4.0862695711507226E-160</v>
      </c>
      <c r="F43" s="8">
        <v>429868.76191129786</v>
      </c>
      <c r="G43" s="8">
        <v>462952.40395660902</v>
      </c>
      <c r="H43" s="8">
        <v>429868.76191129786</v>
      </c>
      <c r="I43" s="8">
        <v>462952.40395660902</v>
      </c>
    </row>
    <row r="44" spans="1:9" ht="15" thickBot="1">
      <c r="A44" s="9" t="s">
        <v>5</v>
      </c>
      <c r="B44" s="9">
        <v>35.678031072640458</v>
      </c>
      <c r="C44" s="9">
        <v>1.1973782890340821</v>
      </c>
      <c r="D44" s="9">
        <v>29.796791372776362</v>
      </c>
      <c r="E44" s="9">
        <v>4.7503615090054677E-94</v>
      </c>
      <c r="F44" s="9">
        <v>33.322246825554025</v>
      </c>
      <c r="G44" s="9">
        <v>38.033815319726891</v>
      </c>
      <c r="H44" s="9">
        <v>33.322246825554025</v>
      </c>
      <c r="I44" s="9">
        <v>38.033815319726891</v>
      </c>
    </row>
    <row r="47" spans="1:9">
      <c r="A47" s="7" t="s">
        <v>151</v>
      </c>
      <c r="B47" s="7"/>
      <c r="C47" s="7"/>
    </row>
    <row r="49" spans="1:9">
      <c r="A49" t="s">
        <v>126</v>
      </c>
    </row>
    <row r="50" spans="1:9" ht="15" thickBot="1"/>
    <row r="51" spans="1:9" ht="15">
      <c r="A51" s="11" t="s">
        <v>127</v>
      </c>
      <c r="B51" s="11"/>
    </row>
    <row r="52" spans="1:9">
      <c r="A52" s="8" t="s">
        <v>128</v>
      </c>
      <c r="B52" s="8">
        <v>9.1052199448449889E-2</v>
      </c>
    </row>
    <row r="53" spans="1:9">
      <c r="A53" s="8" t="s">
        <v>129</v>
      </c>
      <c r="B53" s="8">
        <v>8.2905030244002989E-3</v>
      </c>
    </row>
    <row r="54" spans="1:9">
      <c r="A54" s="8" t="s">
        <v>130</v>
      </c>
      <c r="B54" s="8">
        <v>5.171919700577658E-3</v>
      </c>
    </row>
    <row r="55" spans="1:9">
      <c r="A55" s="8" t="s">
        <v>131</v>
      </c>
      <c r="B55" s="8">
        <v>103502.94470614102</v>
      </c>
    </row>
    <row r="56" spans="1:9" ht="15" thickBot="1">
      <c r="A56" s="9" t="s">
        <v>132</v>
      </c>
      <c r="B56" s="9">
        <v>320</v>
      </c>
    </row>
    <row r="58" spans="1:9" ht="15" thickBot="1">
      <c r="A58" t="s">
        <v>133</v>
      </c>
    </row>
    <row r="59" spans="1:9" ht="15">
      <c r="A59" s="10"/>
      <c r="B59" s="10" t="s">
        <v>138</v>
      </c>
      <c r="C59" s="10" t="s">
        <v>139</v>
      </c>
      <c r="D59" s="10" t="s">
        <v>140</v>
      </c>
      <c r="E59" s="10" t="s">
        <v>141</v>
      </c>
      <c r="F59" s="10" t="s">
        <v>142</v>
      </c>
    </row>
    <row r="60" spans="1:9">
      <c r="A60" s="8" t="s">
        <v>134</v>
      </c>
      <c r="B60" s="8">
        <v>1</v>
      </c>
      <c r="C60" s="8">
        <v>28479275806.828613</v>
      </c>
      <c r="D60" s="8">
        <v>28479275806.828613</v>
      </c>
      <c r="E60" s="8">
        <v>2.658419597472264</v>
      </c>
      <c r="F60" s="8">
        <v>0.10399304641903476</v>
      </c>
    </row>
    <row r="61" spans="1:9">
      <c r="A61" s="8" t="s">
        <v>135</v>
      </c>
      <c r="B61" s="8">
        <v>318</v>
      </c>
      <c r="C61" s="8">
        <v>3406689340983.9106</v>
      </c>
      <c r="D61" s="8">
        <v>10712859562.842485</v>
      </c>
      <c r="E61" s="8"/>
      <c r="F61" s="8"/>
    </row>
    <row r="62" spans="1:9" ht="15" thickBot="1">
      <c r="A62" s="9" t="s">
        <v>136</v>
      </c>
      <c r="B62" s="9">
        <v>319</v>
      </c>
      <c r="C62" s="9">
        <v>3435168616790.7393</v>
      </c>
      <c r="D62" s="9"/>
      <c r="E62" s="9"/>
      <c r="F62" s="9"/>
    </row>
    <row r="63" spans="1:9" ht="15" thickBot="1"/>
    <row r="64" spans="1:9" ht="15">
      <c r="A64" s="10"/>
      <c r="B64" s="10" t="s">
        <v>143</v>
      </c>
      <c r="C64" s="10" t="s">
        <v>131</v>
      </c>
      <c r="D64" s="10" t="s">
        <v>144</v>
      </c>
      <c r="E64" s="10" t="s">
        <v>145</v>
      </c>
      <c r="F64" s="10" t="s">
        <v>146</v>
      </c>
      <c r="G64" s="10" t="s">
        <v>147</v>
      </c>
      <c r="H64" s="10" t="s">
        <v>148</v>
      </c>
      <c r="I64" s="10" t="s">
        <v>149</v>
      </c>
    </row>
    <row r="65" spans="1:9">
      <c r="A65" s="8" t="s">
        <v>137</v>
      </c>
      <c r="B65" s="8">
        <v>697835.62958654074</v>
      </c>
      <c r="C65" s="8">
        <v>12035.418765239492</v>
      </c>
      <c r="D65" s="8">
        <v>57.981832057395351</v>
      </c>
      <c r="E65" s="8">
        <v>3.8725943752004609E-171</v>
      </c>
      <c r="F65" s="8">
        <v>674156.52149354888</v>
      </c>
      <c r="G65" s="8">
        <v>721514.73767953261</v>
      </c>
      <c r="H65" s="8">
        <v>674156.52149354888</v>
      </c>
      <c r="I65" s="8">
        <v>721514.73767953261</v>
      </c>
    </row>
    <row r="66" spans="1:9" ht="15" thickBot="1">
      <c r="A66" s="9" t="s">
        <v>6</v>
      </c>
      <c r="B66" s="9">
        <v>-138730.45471638071</v>
      </c>
      <c r="C66" s="9">
        <v>85086.379579668472</v>
      </c>
      <c r="D66" s="9">
        <v>-1.6304660675623643</v>
      </c>
      <c r="E66" s="9">
        <v>0.10399304641903374</v>
      </c>
      <c r="F66" s="9">
        <v>-306133.81795682968</v>
      </c>
      <c r="G66" s="9">
        <v>28672.908524068229</v>
      </c>
      <c r="H66" s="9">
        <v>-306133.81795682968</v>
      </c>
      <c r="I66" s="9">
        <v>28672.908524068229</v>
      </c>
    </row>
  </sheetData>
  <mergeCells count="3">
    <mergeCell ref="A3:C3"/>
    <mergeCell ref="A25:C25"/>
    <mergeCell ref="A47:C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3A1C-8DFF-1945-B6F3-369087A042D1}">
  <dimension ref="A1:AF353"/>
  <sheetViews>
    <sheetView tabSelected="1" topLeftCell="F1" workbookViewId="0">
      <selection activeCell="AH33" sqref="AH33"/>
    </sheetView>
  </sheetViews>
  <sheetFormatPr baseColWidth="10" defaultColWidth="8.83203125" defaultRowHeight="14" outlineLevelCol="1"/>
  <cols>
    <col min="1" max="8" width="16" customWidth="1"/>
    <col min="9" max="13" width="16" hidden="1" customWidth="1" outlineLevel="1"/>
    <col min="14" max="14" width="16" customWidth="1" collapsed="1"/>
    <col min="15" max="15" width="16" customWidth="1"/>
    <col min="16" max="16" width="15.33203125" hidden="1" customWidth="1" outlineLevel="1"/>
    <col min="17" max="17" width="14.33203125" hidden="1" customWidth="1" outlineLevel="1"/>
    <col min="18" max="18" width="14.1640625" hidden="1" customWidth="1" outlineLevel="1"/>
    <col min="19" max="19" width="14.83203125" hidden="1" customWidth="1" outlineLevel="1"/>
    <col min="20" max="20" width="11.83203125" hidden="1" customWidth="1" outlineLevel="1"/>
    <col min="21" max="21" width="8.83203125" collapsed="1"/>
    <col min="24" max="24" width="24.1640625" customWidth="1"/>
    <col min="25" max="25" width="16.6640625" customWidth="1"/>
  </cols>
  <sheetData>
    <row r="1" spans="1:25" ht="37.25" customHeight="1">
      <c r="A1" s="1" t="s">
        <v>0</v>
      </c>
      <c r="B1" s="1" t="s">
        <v>1</v>
      </c>
      <c r="C1" s="5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5" t="s">
        <v>119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5" t="s">
        <v>120</v>
      </c>
      <c r="Q1" s="5" t="s">
        <v>121</v>
      </c>
      <c r="R1" s="6" t="s">
        <v>122</v>
      </c>
      <c r="S1" s="6" t="s">
        <v>123</v>
      </c>
      <c r="T1" s="6" t="s">
        <v>124</v>
      </c>
    </row>
    <row r="2" spans="1:25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f>IF($C2="North",1,0)</f>
        <v>0</v>
      </c>
      <c r="I2">
        <v>17</v>
      </c>
      <c r="J2">
        <v>75</v>
      </c>
      <c r="K2">
        <v>5.28</v>
      </c>
      <c r="L2">
        <v>1</v>
      </c>
      <c r="M2">
        <v>3.1</v>
      </c>
      <c r="N2">
        <v>658832.62</v>
      </c>
      <c r="O2">
        <v>84349.93</v>
      </c>
      <c r="P2">
        <f>IF($C2="South",1,0)</f>
        <v>0</v>
      </c>
      <c r="Q2">
        <f>IF($C2="East",1,0)</f>
        <v>1</v>
      </c>
      <c r="R2">
        <f>IF($D2="Residential",1,0)</f>
        <v>1</v>
      </c>
      <c r="S2">
        <f>IF($D2="Mall",1,0)</f>
        <v>0</v>
      </c>
      <c r="T2">
        <f>IF($D2="High Street",1,0)</f>
        <v>0</v>
      </c>
    </row>
    <row r="3" spans="1:25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f t="shared" ref="H3:H66" si="0">IF($C3="North",1,0)</f>
        <v>0</v>
      </c>
      <c r="I3">
        <v>23</v>
      </c>
      <c r="J3">
        <v>84.4</v>
      </c>
      <c r="K3">
        <v>4.3099999999999996</v>
      </c>
      <c r="L3">
        <v>0</v>
      </c>
      <c r="M3">
        <v>2.8</v>
      </c>
      <c r="N3">
        <v>634436</v>
      </c>
      <c r="O3">
        <v>106130.54</v>
      </c>
      <c r="P3">
        <f t="shared" ref="P3:P66" si="1">IF($C3="South",1,0)</f>
        <v>0</v>
      </c>
      <c r="Q3">
        <f t="shared" ref="Q3:Q66" si="2">IF($C3="East",1,0)</f>
        <v>1</v>
      </c>
      <c r="R3">
        <f t="shared" ref="R3:R66" si="3">IF($D3="Residential",1,0)</f>
        <v>1</v>
      </c>
      <c r="S3">
        <f t="shared" ref="S3:S66" si="4">IF($D3="Mall",1,0)</f>
        <v>0</v>
      </c>
      <c r="T3">
        <f t="shared" ref="T3:T66" si="5">IF($D3="High Street",1,0)</f>
        <v>0</v>
      </c>
    </row>
    <row r="4" spans="1:25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f t="shared" si="0"/>
        <v>0</v>
      </c>
      <c r="I4">
        <v>20</v>
      </c>
      <c r="J4">
        <v>88</v>
      </c>
      <c r="K4">
        <v>12</v>
      </c>
      <c r="L4">
        <v>0</v>
      </c>
      <c r="M4">
        <v>3.2</v>
      </c>
      <c r="N4">
        <v>678722.06</v>
      </c>
      <c r="O4">
        <v>101883.86</v>
      </c>
      <c r="P4">
        <f t="shared" si="1"/>
        <v>0</v>
      </c>
      <c r="Q4">
        <f t="shared" si="2"/>
        <v>1</v>
      </c>
      <c r="R4">
        <f t="shared" si="3"/>
        <v>1</v>
      </c>
      <c r="S4">
        <f t="shared" si="4"/>
        <v>0</v>
      </c>
      <c r="T4">
        <f t="shared" si="5"/>
        <v>0</v>
      </c>
    </row>
    <row r="5" spans="1:25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f t="shared" si="0"/>
        <v>0</v>
      </c>
      <c r="I5">
        <v>23</v>
      </c>
      <c r="J5">
        <v>86.9</v>
      </c>
      <c r="K5">
        <v>4.97</v>
      </c>
      <c r="L5">
        <v>0</v>
      </c>
      <c r="M5">
        <v>3.4</v>
      </c>
      <c r="N5">
        <v>658920.30000000005</v>
      </c>
      <c r="O5">
        <v>97910.37</v>
      </c>
      <c r="P5">
        <f t="shared" si="1"/>
        <v>0</v>
      </c>
      <c r="Q5">
        <f t="shared" si="2"/>
        <v>1</v>
      </c>
      <c r="R5">
        <f t="shared" si="3"/>
        <v>1</v>
      </c>
      <c r="S5">
        <f t="shared" si="4"/>
        <v>0</v>
      </c>
      <c r="T5">
        <f t="shared" si="5"/>
        <v>0</v>
      </c>
    </row>
    <row r="6" spans="1:25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f t="shared" si="0"/>
        <v>0</v>
      </c>
      <c r="I6">
        <v>21</v>
      </c>
      <c r="J6">
        <v>97.6</v>
      </c>
      <c r="K6">
        <v>6.94</v>
      </c>
      <c r="L6">
        <v>1</v>
      </c>
      <c r="M6">
        <v>4.2</v>
      </c>
      <c r="N6">
        <v>741341.44</v>
      </c>
      <c r="O6">
        <v>119208.17</v>
      </c>
      <c r="P6">
        <f t="shared" si="1"/>
        <v>0</v>
      </c>
      <c r="Q6">
        <f t="shared" si="2"/>
        <v>1</v>
      </c>
      <c r="R6">
        <f t="shared" si="3"/>
        <v>0</v>
      </c>
      <c r="S6">
        <f t="shared" si="4"/>
        <v>0</v>
      </c>
      <c r="T6">
        <f t="shared" si="5"/>
        <v>1</v>
      </c>
    </row>
    <row r="7" spans="1:25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f t="shared" si="0"/>
        <v>0</v>
      </c>
      <c r="I7">
        <v>20</v>
      </c>
      <c r="J7">
        <v>84.2</v>
      </c>
      <c r="K7">
        <v>2.88</v>
      </c>
      <c r="L7">
        <v>0</v>
      </c>
      <c r="M7">
        <v>4.2</v>
      </c>
      <c r="N7">
        <v>761835.34</v>
      </c>
      <c r="O7">
        <v>149602.23000000001</v>
      </c>
      <c r="P7">
        <f t="shared" si="1"/>
        <v>0</v>
      </c>
      <c r="Q7">
        <f t="shared" si="2"/>
        <v>1</v>
      </c>
      <c r="R7">
        <f t="shared" si="3"/>
        <v>0</v>
      </c>
      <c r="S7">
        <f t="shared" si="4"/>
        <v>0</v>
      </c>
      <c r="T7">
        <f t="shared" si="5"/>
        <v>1</v>
      </c>
      <c r="X7" t="s">
        <v>126</v>
      </c>
    </row>
    <row r="8" spans="1:25" ht="15" thickBot="1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f t="shared" si="0"/>
        <v>0</v>
      </c>
      <c r="I8">
        <v>22</v>
      </c>
      <c r="J8">
        <v>85.2</v>
      </c>
      <c r="K8">
        <v>0.2</v>
      </c>
      <c r="L8">
        <v>1</v>
      </c>
      <c r="M8">
        <v>4.0999999999999996</v>
      </c>
      <c r="N8">
        <v>806615.54</v>
      </c>
      <c r="O8">
        <v>131364.62</v>
      </c>
      <c r="P8">
        <f t="shared" si="1"/>
        <v>0</v>
      </c>
      <c r="Q8">
        <f t="shared" si="2"/>
        <v>1</v>
      </c>
      <c r="R8">
        <f t="shared" si="3"/>
        <v>0</v>
      </c>
      <c r="S8">
        <f t="shared" si="4"/>
        <v>0</v>
      </c>
      <c r="T8">
        <f t="shared" si="5"/>
        <v>1</v>
      </c>
    </row>
    <row r="9" spans="1:25" ht="15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f t="shared" si="0"/>
        <v>0</v>
      </c>
      <c r="I9">
        <v>23</v>
      </c>
      <c r="J9">
        <v>95.6</v>
      </c>
      <c r="K9">
        <v>0.8</v>
      </c>
      <c r="L9">
        <v>0</v>
      </c>
      <c r="M9">
        <v>3.9</v>
      </c>
      <c r="N9">
        <v>850164.26</v>
      </c>
      <c r="O9">
        <v>149262.75</v>
      </c>
      <c r="P9">
        <f t="shared" si="1"/>
        <v>0</v>
      </c>
      <c r="Q9">
        <f t="shared" si="2"/>
        <v>1</v>
      </c>
      <c r="R9">
        <f t="shared" si="3"/>
        <v>0</v>
      </c>
      <c r="S9">
        <f t="shared" si="4"/>
        <v>0</v>
      </c>
      <c r="T9">
        <f t="shared" si="5"/>
        <v>1</v>
      </c>
      <c r="X9" s="11" t="s">
        <v>127</v>
      </c>
      <c r="Y9" s="11"/>
    </row>
    <row r="10" spans="1:25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f t="shared" si="0"/>
        <v>1</v>
      </c>
      <c r="I10">
        <v>26</v>
      </c>
      <c r="J10">
        <v>88.6</v>
      </c>
      <c r="K10">
        <v>7.7</v>
      </c>
      <c r="L10">
        <v>1</v>
      </c>
      <c r="M10">
        <v>3.8</v>
      </c>
      <c r="N10">
        <v>930581.7</v>
      </c>
      <c r="O10">
        <v>136207.98000000001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  <c r="X10" s="8" t="s">
        <v>128</v>
      </c>
      <c r="Y10" s="8">
        <v>0.88615823866646093</v>
      </c>
    </row>
    <row r="11" spans="1:25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f t="shared" si="0"/>
        <v>1</v>
      </c>
      <c r="I11">
        <v>21</v>
      </c>
      <c r="J11">
        <v>85</v>
      </c>
      <c r="K11">
        <v>1.91</v>
      </c>
      <c r="L11">
        <v>0</v>
      </c>
      <c r="M11">
        <v>4.2</v>
      </c>
      <c r="N11">
        <v>779010.94</v>
      </c>
      <c r="O11">
        <v>106328.09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  <c r="X11" s="8" t="s">
        <v>129</v>
      </c>
      <c r="Y11" s="8">
        <v>0.78527642395644426</v>
      </c>
    </row>
    <row r="12" spans="1:25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f t="shared" si="0"/>
        <v>1</v>
      </c>
      <c r="I12">
        <v>22</v>
      </c>
      <c r="J12">
        <v>88.3</v>
      </c>
      <c r="K12">
        <v>10.46</v>
      </c>
      <c r="L12">
        <v>1</v>
      </c>
      <c r="M12">
        <v>3.8</v>
      </c>
      <c r="N12">
        <v>723060.76</v>
      </c>
      <c r="O12">
        <v>123131.24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  <c r="X12" s="8" t="s">
        <v>130</v>
      </c>
      <c r="Y12" s="8">
        <v>0.78254977537176418</v>
      </c>
    </row>
    <row r="13" spans="1:25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f t="shared" si="0"/>
        <v>1</v>
      </c>
      <c r="I13">
        <v>28</v>
      </c>
      <c r="J13">
        <v>85.3</v>
      </c>
      <c r="K13">
        <v>7.16</v>
      </c>
      <c r="L13">
        <v>0</v>
      </c>
      <c r="M13">
        <v>3.8</v>
      </c>
      <c r="N13">
        <v>910791.94</v>
      </c>
      <c r="O13">
        <v>158891.28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  <c r="X13" s="8" t="s">
        <v>131</v>
      </c>
      <c r="Y13" s="8">
        <v>48390.333867183304</v>
      </c>
    </row>
    <row r="14" spans="1:25" ht="15" thickBot="1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f t="shared" si="0"/>
        <v>0</v>
      </c>
      <c r="I14">
        <v>30</v>
      </c>
      <c r="J14">
        <v>81.7</v>
      </c>
      <c r="K14">
        <v>4.24</v>
      </c>
      <c r="L14">
        <v>1</v>
      </c>
      <c r="M14">
        <v>4.2</v>
      </c>
      <c r="N14">
        <v>922168.6</v>
      </c>
      <c r="O14">
        <v>107494.53</v>
      </c>
      <c r="P14">
        <f t="shared" si="1"/>
        <v>0</v>
      </c>
      <c r="Q14">
        <f t="shared" si="2"/>
        <v>1</v>
      </c>
      <c r="R14">
        <f t="shared" si="3"/>
        <v>1</v>
      </c>
      <c r="S14">
        <f t="shared" si="4"/>
        <v>0</v>
      </c>
      <c r="T14">
        <f t="shared" si="5"/>
        <v>0</v>
      </c>
      <c r="X14" s="9" t="s">
        <v>132</v>
      </c>
      <c r="Y14" s="9">
        <v>320</v>
      </c>
    </row>
    <row r="15" spans="1:25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f t="shared" si="0"/>
        <v>0</v>
      </c>
      <c r="I15">
        <v>24</v>
      </c>
      <c r="J15">
        <v>84.9</v>
      </c>
      <c r="K15">
        <v>1.06</v>
      </c>
      <c r="L15">
        <v>0</v>
      </c>
      <c r="M15">
        <v>4.3</v>
      </c>
      <c r="N15">
        <v>726606.28</v>
      </c>
      <c r="O15">
        <v>122729.29</v>
      </c>
      <c r="P15">
        <f t="shared" si="1"/>
        <v>0</v>
      </c>
      <c r="Q15">
        <f t="shared" si="2"/>
        <v>1</v>
      </c>
      <c r="R15">
        <f t="shared" si="3"/>
        <v>1</v>
      </c>
      <c r="S15">
        <f t="shared" si="4"/>
        <v>0</v>
      </c>
      <c r="T15">
        <f t="shared" si="5"/>
        <v>0</v>
      </c>
    </row>
    <row r="16" spans="1:25" ht="15" thickBot="1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f t="shared" si="0"/>
        <v>0</v>
      </c>
      <c r="I16">
        <v>23</v>
      </c>
      <c r="J16">
        <v>88.8</v>
      </c>
      <c r="K16">
        <v>0.27</v>
      </c>
      <c r="L16">
        <v>0</v>
      </c>
      <c r="M16">
        <v>4.3</v>
      </c>
      <c r="N16">
        <v>746501.09</v>
      </c>
      <c r="O16">
        <v>136816.72</v>
      </c>
      <c r="P16">
        <f t="shared" si="1"/>
        <v>0</v>
      </c>
      <c r="Q16">
        <f t="shared" si="2"/>
        <v>1</v>
      </c>
      <c r="R16">
        <f t="shared" si="3"/>
        <v>1</v>
      </c>
      <c r="S16">
        <f t="shared" si="4"/>
        <v>0</v>
      </c>
      <c r="T16">
        <f t="shared" si="5"/>
        <v>0</v>
      </c>
      <c r="X16" t="s">
        <v>133</v>
      </c>
    </row>
    <row r="17" spans="1:32" ht="15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f t="shared" si="0"/>
        <v>0</v>
      </c>
      <c r="I17">
        <v>26</v>
      </c>
      <c r="J17">
        <v>76.5</v>
      </c>
      <c r="K17">
        <v>1.32</v>
      </c>
      <c r="L17">
        <v>0</v>
      </c>
      <c r="M17">
        <v>4.5</v>
      </c>
      <c r="N17">
        <v>834017.02</v>
      </c>
      <c r="O17">
        <v>114745.03</v>
      </c>
      <c r="P17">
        <f t="shared" si="1"/>
        <v>0</v>
      </c>
      <c r="Q17">
        <f t="shared" si="2"/>
        <v>1</v>
      </c>
      <c r="R17">
        <f t="shared" si="3"/>
        <v>1</v>
      </c>
      <c r="S17">
        <f t="shared" si="4"/>
        <v>0</v>
      </c>
      <c r="T17">
        <f t="shared" si="5"/>
        <v>0</v>
      </c>
      <c r="X17" s="10"/>
      <c r="Y17" s="10" t="s">
        <v>138</v>
      </c>
      <c r="Z17" s="10" t="s">
        <v>139</v>
      </c>
      <c r="AA17" s="10" t="s">
        <v>140</v>
      </c>
      <c r="AB17" s="10" t="s">
        <v>141</v>
      </c>
      <c r="AC17" s="10" t="s">
        <v>142</v>
      </c>
    </row>
    <row r="18" spans="1:32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f t="shared" si="0"/>
        <v>0</v>
      </c>
      <c r="I18">
        <v>15</v>
      </c>
      <c r="J18">
        <v>87.7</v>
      </c>
      <c r="K18">
        <v>1.22</v>
      </c>
      <c r="L18">
        <v>0</v>
      </c>
      <c r="M18">
        <v>3.7</v>
      </c>
      <c r="N18">
        <v>666152.52</v>
      </c>
      <c r="O18">
        <v>107490.58</v>
      </c>
      <c r="P18">
        <f t="shared" si="1"/>
        <v>1</v>
      </c>
      <c r="Q18">
        <f t="shared" si="2"/>
        <v>0</v>
      </c>
      <c r="R18">
        <f t="shared" si="3"/>
        <v>1</v>
      </c>
      <c r="S18">
        <f t="shared" si="4"/>
        <v>0</v>
      </c>
      <c r="T18">
        <f t="shared" si="5"/>
        <v>0</v>
      </c>
      <c r="X18" s="8" t="s">
        <v>134</v>
      </c>
      <c r="Y18" s="8">
        <v>4</v>
      </c>
      <c r="Z18" s="8">
        <v>2697556927080.8369</v>
      </c>
      <c r="AA18" s="8">
        <v>674389231770.20923</v>
      </c>
      <c r="AB18" s="8">
        <v>288.00059837875432</v>
      </c>
      <c r="AC18" s="8">
        <v>7.3596658211440581E-104</v>
      </c>
    </row>
    <row r="19" spans="1:32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f t="shared" si="0"/>
        <v>0</v>
      </c>
      <c r="I19">
        <v>9</v>
      </c>
      <c r="J19">
        <v>87.6</v>
      </c>
      <c r="K19">
        <v>4.01</v>
      </c>
      <c r="L19">
        <v>0</v>
      </c>
      <c r="M19">
        <v>3.6</v>
      </c>
      <c r="N19">
        <v>573155.18999999994</v>
      </c>
      <c r="O19">
        <v>83680.75</v>
      </c>
      <c r="P19">
        <f t="shared" si="1"/>
        <v>1</v>
      </c>
      <c r="Q19">
        <f t="shared" si="2"/>
        <v>0</v>
      </c>
      <c r="R19">
        <f t="shared" si="3"/>
        <v>1</v>
      </c>
      <c r="S19">
        <f t="shared" si="4"/>
        <v>0</v>
      </c>
      <c r="T19">
        <f t="shared" si="5"/>
        <v>0</v>
      </c>
      <c r="X19" s="8" t="s">
        <v>135</v>
      </c>
      <c r="Y19" s="8">
        <v>315</v>
      </c>
      <c r="Z19" s="8">
        <v>737611689709.90222</v>
      </c>
      <c r="AA19" s="8">
        <v>2341624411.7774673</v>
      </c>
      <c r="AB19" s="8"/>
      <c r="AC19" s="8"/>
    </row>
    <row r="20" spans="1:32" ht="15" thickBot="1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f t="shared" si="0"/>
        <v>0</v>
      </c>
      <c r="I20">
        <v>15</v>
      </c>
      <c r="J20">
        <v>94.1</v>
      </c>
      <c r="K20">
        <v>0.2</v>
      </c>
      <c r="L20">
        <v>0</v>
      </c>
      <c r="M20">
        <v>3.9</v>
      </c>
      <c r="N20">
        <v>666573.19999999995</v>
      </c>
      <c r="O20">
        <v>140641.01999999999</v>
      </c>
      <c r="P20">
        <f t="shared" si="1"/>
        <v>1</v>
      </c>
      <c r="Q20">
        <f t="shared" si="2"/>
        <v>0</v>
      </c>
      <c r="R20">
        <f t="shared" si="3"/>
        <v>1</v>
      </c>
      <c r="S20">
        <f t="shared" si="4"/>
        <v>0</v>
      </c>
      <c r="T20">
        <f t="shared" si="5"/>
        <v>0</v>
      </c>
      <c r="X20" s="9" t="s">
        <v>136</v>
      </c>
      <c r="Y20" s="9">
        <v>319</v>
      </c>
      <c r="Z20" s="9">
        <v>3435168616790.7393</v>
      </c>
      <c r="AA20" s="9"/>
      <c r="AB20" s="9"/>
      <c r="AC20" s="9"/>
    </row>
    <row r="21" spans="1:32" ht="15" thickBot="1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f t="shared" si="0"/>
        <v>0</v>
      </c>
      <c r="I21">
        <v>16</v>
      </c>
      <c r="J21">
        <v>88.3</v>
      </c>
      <c r="K21">
        <v>0.5</v>
      </c>
      <c r="L21">
        <v>0</v>
      </c>
      <c r="M21">
        <v>4</v>
      </c>
      <c r="N21">
        <v>591619.94999999995</v>
      </c>
      <c r="O21">
        <v>99521.35</v>
      </c>
      <c r="P21">
        <f t="shared" si="1"/>
        <v>1</v>
      </c>
      <c r="Q21">
        <f t="shared" si="2"/>
        <v>0</v>
      </c>
      <c r="R21">
        <f t="shared" si="3"/>
        <v>1</v>
      </c>
      <c r="S21">
        <f t="shared" si="4"/>
        <v>0</v>
      </c>
      <c r="T21">
        <f t="shared" si="5"/>
        <v>0</v>
      </c>
    </row>
    <row r="22" spans="1:32" ht="15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f t="shared" si="0"/>
        <v>1</v>
      </c>
      <c r="I22">
        <v>9</v>
      </c>
      <c r="J22">
        <v>84.8</v>
      </c>
      <c r="K22">
        <v>6.95</v>
      </c>
      <c r="L22">
        <v>0</v>
      </c>
      <c r="M22">
        <v>5</v>
      </c>
      <c r="N22">
        <v>415721.82</v>
      </c>
      <c r="O22">
        <v>61179.15</v>
      </c>
      <c r="P22">
        <f t="shared" si="1"/>
        <v>0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5"/>
        <v>0</v>
      </c>
      <c r="X22" s="10"/>
      <c r="Y22" s="10" t="s">
        <v>143</v>
      </c>
      <c r="Z22" s="10" t="s">
        <v>131</v>
      </c>
      <c r="AA22" s="10" t="s">
        <v>144</v>
      </c>
      <c r="AB22" s="10" t="s">
        <v>145</v>
      </c>
      <c r="AC22" s="10" t="s">
        <v>146</v>
      </c>
      <c r="AD22" s="10" t="s">
        <v>147</v>
      </c>
      <c r="AE22" s="10" t="s">
        <v>148</v>
      </c>
      <c r="AF22" s="10" t="s">
        <v>149</v>
      </c>
    </row>
    <row r="23" spans="1:32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f t="shared" si="0"/>
        <v>1</v>
      </c>
      <c r="I23">
        <v>8</v>
      </c>
      <c r="J23">
        <v>88.5</v>
      </c>
      <c r="K23">
        <v>0.2</v>
      </c>
      <c r="L23">
        <v>0</v>
      </c>
      <c r="M23">
        <v>5</v>
      </c>
      <c r="N23">
        <v>491905.13</v>
      </c>
      <c r="O23">
        <v>79212.259999999995</v>
      </c>
      <c r="P23">
        <f t="shared" si="1"/>
        <v>0</v>
      </c>
      <c r="Q23">
        <f t="shared" si="2"/>
        <v>0</v>
      </c>
      <c r="R23">
        <f t="shared" si="3"/>
        <v>1</v>
      </c>
      <c r="S23">
        <f t="shared" si="4"/>
        <v>0</v>
      </c>
      <c r="T23">
        <f t="shared" si="5"/>
        <v>0</v>
      </c>
      <c r="X23" s="8" t="s">
        <v>137</v>
      </c>
      <c r="Y23" s="8">
        <v>407920.81532356626</v>
      </c>
      <c r="Z23" s="8">
        <v>11292.054061894982</v>
      </c>
      <c r="AA23" s="8">
        <v>36.124589298601961</v>
      </c>
      <c r="AB23" s="8">
        <v>4.8412033246269127E-114</v>
      </c>
      <c r="AC23" s="8">
        <v>385703.43323566573</v>
      </c>
      <c r="AD23" s="8">
        <v>430138.1974114668</v>
      </c>
      <c r="AE23" s="8">
        <v>385703.43323566573</v>
      </c>
      <c r="AF23" s="8">
        <v>430138.1974114668</v>
      </c>
    </row>
    <row r="24" spans="1:32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f t="shared" si="0"/>
        <v>1</v>
      </c>
      <c r="I24">
        <v>13</v>
      </c>
      <c r="J24">
        <v>82</v>
      </c>
      <c r="K24">
        <v>1.61</v>
      </c>
      <c r="L24">
        <v>1</v>
      </c>
      <c r="M24">
        <v>4.5999999999999996</v>
      </c>
      <c r="N24">
        <v>555929.4</v>
      </c>
      <c r="O24">
        <v>115201.76</v>
      </c>
      <c r="P24">
        <f t="shared" si="1"/>
        <v>0</v>
      </c>
      <c r="Q24">
        <f t="shared" si="2"/>
        <v>0</v>
      </c>
      <c r="R24">
        <f t="shared" si="3"/>
        <v>1</v>
      </c>
      <c r="S24">
        <f t="shared" si="4"/>
        <v>0</v>
      </c>
      <c r="T24">
        <f t="shared" si="5"/>
        <v>0</v>
      </c>
      <c r="X24" s="8" t="s">
        <v>4</v>
      </c>
      <c r="Y24" s="8">
        <v>1.1274160362367214</v>
      </c>
      <c r="Z24" s="8">
        <v>0.14007659232945932</v>
      </c>
      <c r="AA24" s="8">
        <v>8.0485684116661371</v>
      </c>
      <c r="AB24" s="8">
        <v>1.7288932436637024E-14</v>
      </c>
      <c r="AC24" s="8">
        <v>0.85181204458948279</v>
      </c>
      <c r="AD24" s="8">
        <v>1.40302002788396</v>
      </c>
      <c r="AE24" s="8">
        <v>0.85181204458948279</v>
      </c>
      <c r="AF24" s="8">
        <v>1.40302002788396</v>
      </c>
    </row>
    <row r="25" spans="1:32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f t="shared" si="0"/>
        <v>1</v>
      </c>
      <c r="I25">
        <v>12</v>
      </c>
      <c r="J25">
        <v>92.1</v>
      </c>
      <c r="K25">
        <v>1.55</v>
      </c>
      <c r="L25">
        <v>0</v>
      </c>
      <c r="M25">
        <v>4.7</v>
      </c>
      <c r="N25">
        <v>565810.99</v>
      </c>
      <c r="O25">
        <v>77825.460000000006</v>
      </c>
      <c r="P25">
        <f t="shared" si="1"/>
        <v>0</v>
      </c>
      <c r="Q25">
        <f t="shared" si="2"/>
        <v>0</v>
      </c>
      <c r="R25">
        <f t="shared" si="3"/>
        <v>1</v>
      </c>
      <c r="S25">
        <f t="shared" si="4"/>
        <v>0</v>
      </c>
      <c r="T25">
        <f t="shared" si="5"/>
        <v>0</v>
      </c>
      <c r="X25" s="8" t="s">
        <v>5</v>
      </c>
      <c r="Y25" s="8">
        <v>33.517888185085432</v>
      </c>
      <c r="Z25" s="8">
        <v>1.1198639470315432</v>
      </c>
      <c r="AA25" s="8">
        <v>29.930321691248565</v>
      </c>
      <c r="AB25" s="8">
        <v>4.1307743476675643E-94</v>
      </c>
      <c r="AC25" s="8">
        <v>31.314529517008985</v>
      </c>
      <c r="AD25" s="8">
        <v>35.72124685316188</v>
      </c>
      <c r="AE25" s="8">
        <v>31.314529517008985</v>
      </c>
      <c r="AF25" s="8">
        <v>35.72124685316188</v>
      </c>
    </row>
    <row r="26" spans="1:32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f t="shared" si="0"/>
        <v>0</v>
      </c>
      <c r="I26">
        <v>25</v>
      </c>
      <c r="J26">
        <v>94.8</v>
      </c>
      <c r="K26">
        <v>2.99</v>
      </c>
      <c r="L26">
        <v>0</v>
      </c>
      <c r="M26">
        <v>3.5</v>
      </c>
      <c r="N26">
        <v>811771.14</v>
      </c>
      <c r="O26">
        <v>148756.24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1</v>
      </c>
      <c r="T26">
        <f t="shared" si="5"/>
        <v>0</v>
      </c>
      <c r="X26" s="8" t="s">
        <v>6</v>
      </c>
      <c r="Y26" s="8">
        <v>-89140.445531963764</v>
      </c>
      <c r="Z26" s="8">
        <v>39927.00893025611</v>
      </c>
      <c r="AA26" s="8">
        <v>-2.2325851076816932</v>
      </c>
      <c r="AB26" s="8">
        <v>2.6278832515923198E-2</v>
      </c>
      <c r="AC26" s="8">
        <v>-167697.77515226236</v>
      </c>
      <c r="AD26" s="8">
        <v>-10583.11591166516</v>
      </c>
      <c r="AE26" s="8">
        <v>-167697.77515226236</v>
      </c>
      <c r="AF26" s="8">
        <v>-10583.11591166516</v>
      </c>
    </row>
    <row r="27" spans="1:32" ht="15" thickBot="1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f t="shared" si="0"/>
        <v>0</v>
      </c>
      <c r="I27">
        <v>22</v>
      </c>
      <c r="J27">
        <v>86.2</v>
      </c>
      <c r="K27">
        <v>7.04</v>
      </c>
      <c r="L27">
        <v>0</v>
      </c>
      <c r="M27">
        <v>3.9</v>
      </c>
      <c r="N27">
        <v>800451.94</v>
      </c>
      <c r="O27">
        <v>111572.29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1</v>
      </c>
      <c r="T27">
        <f t="shared" si="5"/>
        <v>0</v>
      </c>
      <c r="X27" s="9" t="s">
        <v>119</v>
      </c>
      <c r="Y27" s="9">
        <v>1382.1794988938768</v>
      </c>
      <c r="Z27" s="9">
        <v>6795.1822177565264</v>
      </c>
      <c r="AA27" s="9">
        <v>0.20340580349443704</v>
      </c>
      <c r="AB27" s="9">
        <v>0.83894919806451052</v>
      </c>
      <c r="AC27" s="9">
        <v>-11987.501416667434</v>
      </c>
      <c r="AD27" s="9">
        <v>14751.860414455186</v>
      </c>
      <c r="AE27" s="9">
        <v>-11987.501416667434</v>
      </c>
      <c r="AF27" s="9">
        <v>14751.860414455186</v>
      </c>
    </row>
    <row r="28" spans="1:32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f t="shared" si="0"/>
        <v>0</v>
      </c>
      <c r="I28">
        <v>23</v>
      </c>
      <c r="J28">
        <v>91.9</v>
      </c>
      <c r="K28">
        <v>4.9400000000000004</v>
      </c>
      <c r="L28">
        <v>0</v>
      </c>
      <c r="M28">
        <v>4</v>
      </c>
      <c r="N28">
        <v>783672.82</v>
      </c>
      <c r="O28">
        <v>112577.14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1</v>
      </c>
      <c r="T28">
        <f t="shared" si="5"/>
        <v>0</v>
      </c>
    </row>
    <row r="29" spans="1:32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f t="shared" si="0"/>
        <v>0</v>
      </c>
      <c r="I29">
        <v>16</v>
      </c>
      <c r="J29">
        <v>84.2</v>
      </c>
      <c r="K29">
        <v>16.149999999999999</v>
      </c>
      <c r="L29">
        <v>0</v>
      </c>
      <c r="M29">
        <v>3.7</v>
      </c>
      <c r="N29">
        <v>701641.97</v>
      </c>
      <c r="O29">
        <v>106111.86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1</v>
      </c>
      <c r="T29">
        <f t="shared" si="5"/>
        <v>0</v>
      </c>
    </row>
    <row r="30" spans="1:32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f t="shared" si="0"/>
        <v>0</v>
      </c>
      <c r="I30">
        <v>11</v>
      </c>
      <c r="J30">
        <v>85</v>
      </c>
      <c r="K30">
        <v>0.48</v>
      </c>
      <c r="L30">
        <v>0</v>
      </c>
      <c r="M30">
        <v>3.6</v>
      </c>
      <c r="N30">
        <v>511844.41</v>
      </c>
      <c r="O30">
        <v>72774.44</v>
      </c>
      <c r="P30">
        <f t="shared" si="1"/>
        <v>0</v>
      </c>
      <c r="Q30">
        <f t="shared" si="2"/>
        <v>1</v>
      </c>
      <c r="R30">
        <f t="shared" si="3"/>
        <v>1</v>
      </c>
      <c r="S30">
        <f t="shared" si="4"/>
        <v>0</v>
      </c>
      <c r="T30">
        <f t="shared" si="5"/>
        <v>0</v>
      </c>
    </row>
    <row r="31" spans="1:32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f t="shared" si="0"/>
        <v>0</v>
      </c>
      <c r="I31">
        <v>9</v>
      </c>
      <c r="J31">
        <v>87.5</v>
      </c>
      <c r="K31">
        <v>0.31</v>
      </c>
      <c r="L31">
        <v>0</v>
      </c>
      <c r="M31">
        <v>3.1</v>
      </c>
      <c r="N31">
        <v>537383.79</v>
      </c>
      <c r="O31">
        <v>63773.27</v>
      </c>
      <c r="P31">
        <f t="shared" si="1"/>
        <v>0</v>
      </c>
      <c r="Q31">
        <f t="shared" si="2"/>
        <v>1</v>
      </c>
      <c r="R31">
        <f t="shared" si="3"/>
        <v>1</v>
      </c>
      <c r="S31">
        <f t="shared" si="4"/>
        <v>0</v>
      </c>
      <c r="T31">
        <f t="shared" si="5"/>
        <v>0</v>
      </c>
      <c r="X31" t="s">
        <v>152</v>
      </c>
    </row>
    <row r="32" spans="1:32" ht="15" thickBot="1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f t="shared" si="0"/>
        <v>0</v>
      </c>
      <c r="I32">
        <v>11</v>
      </c>
      <c r="J32">
        <v>87.6</v>
      </c>
      <c r="K32">
        <v>3.01</v>
      </c>
      <c r="L32">
        <v>1</v>
      </c>
      <c r="M32">
        <v>3.7</v>
      </c>
      <c r="N32">
        <v>500173.02</v>
      </c>
      <c r="O32">
        <v>70982.05</v>
      </c>
      <c r="P32">
        <f t="shared" si="1"/>
        <v>0</v>
      </c>
      <c r="Q32">
        <f t="shared" si="2"/>
        <v>1</v>
      </c>
      <c r="R32">
        <f t="shared" si="3"/>
        <v>1</v>
      </c>
      <c r="S32">
        <f t="shared" si="4"/>
        <v>0</v>
      </c>
      <c r="T32">
        <f t="shared" si="5"/>
        <v>0</v>
      </c>
    </row>
    <row r="33" spans="1:26" ht="15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f t="shared" si="0"/>
        <v>0</v>
      </c>
      <c r="I33">
        <v>5</v>
      </c>
      <c r="J33">
        <v>89.9</v>
      </c>
      <c r="K33">
        <v>12.15</v>
      </c>
      <c r="L33">
        <v>0</v>
      </c>
      <c r="M33">
        <v>3.6</v>
      </c>
      <c r="N33">
        <v>427917.38</v>
      </c>
      <c r="O33">
        <v>81824.31</v>
      </c>
      <c r="P33">
        <f t="shared" si="1"/>
        <v>0</v>
      </c>
      <c r="Q33">
        <f t="shared" si="2"/>
        <v>1</v>
      </c>
      <c r="R33">
        <f t="shared" si="3"/>
        <v>1</v>
      </c>
      <c r="S33">
        <f t="shared" si="4"/>
        <v>0</v>
      </c>
      <c r="T33">
        <f t="shared" si="5"/>
        <v>0</v>
      </c>
      <c r="X33" s="10" t="s">
        <v>153</v>
      </c>
      <c r="Y33" s="10" t="s">
        <v>154</v>
      </c>
      <c r="Z33" s="10" t="s">
        <v>155</v>
      </c>
    </row>
    <row r="34" spans="1:26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f t="shared" si="0"/>
        <v>1</v>
      </c>
      <c r="I34">
        <v>21</v>
      </c>
      <c r="J34">
        <v>83.3</v>
      </c>
      <c r="K34">
        <v>11.71</v>
      </c>
      <c r="L34">
        <v>0</v>
      </c>
      <c r="M34">
        <v>4.2</v>
      </c>
      <c r="N34">
        <v>641865.03</v>
      </c>
      <c r="O34">
        <v>81342.58</v>
      </c>
      <c r="P34">
        <f t="shared" si="1"/>
        <v>0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5"/>
        <v>0</v>
      </c>
      <c r="X34" s="8">
        <v>1</v>
      </c>
      <c r="Y34" s="8">
        <v>761800.2357142336</v>
      </c>
      <c r="Z34" s="8">
        <v>-102967.6157142336</v>
      </c>
    </row>
    <row r="35" spans="1:26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f t="shared" si="0"/>
        <v>1</v>
      </c>
      <c r="I35">
        <v>25</v>
      </c>
      <c r="J35">
        <v>84.7</v>
      </c>
      <c r="K35">
        <v>0.62</v>
      </c>
      <c r="L35">
        <v>0</v>
      </c>
      <c r="M35" s="4" t="s">
        <v>118</v>
      </c>
      <c r="N35">
        <v>799477.76000000001</v>
      </c>
      <c r="O35">
        <v>164974.41</v>
      </c>
      <c r="P35">
        <f t="shared" si="1"/>
        <v>0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5"/>
        <v>0</v>
      </c>
      <c r="X35" s="8">
        <v>2</v>
      </c>
      <c r="Y35" s="8">
        <v>726823.80352143536</v>
      </c>
      <c r="Z35" s="8">
        <v>-92387.803521435359</v>
      </c>
    </row>
    <row r="36" spans="1:26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f t="shared" si="0"/>
        <v>1</v>
      </c>
      <c r="I36">
        <v>23</v>
      </c>
      <c r="J36">
        <v>92.1</v>
      </c>
      <c r="K36">
        <v>2.12</v>
      </c>
      <c r="L36">
        <v>0</v>
      </c>
      <c r="M36">
        <v>3.5</v>
      </c>
      <c r="N36">
        <v>798952.17</v>
      </c>
      <c r="O36">
        <v>161499.04</v>
      </c>
      <c r="P36">
        <f t="shared" si="1"/>
        <v>0</v>
      </c>
      <c r="Q36">
        <f t="shared" si="2"/>
        <v>0</v>
      </c>
      <c r="R36">
        <f t="shared" si="3"/>
        <v>1</v>
      </c>
      <c r="S36">
        <f t="shared" si="4"/>
        <v>0</v>
      </c>
      <c r="T36">
        <f t="shared" si="5"/>
        <v>0</v>
      </c>
      <c r="X36" s="8">
        <v>3</v>
      </c>
      <c r="Y36" s="8">
        <v>769070.39296786638</v>
      </c>
      <c r="Z36" s="8">
        <v>-90348.332967866329</v>
      </c>
    </row>
    <row r="37" spans="1:26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f t="shared" si="0"/>
        <v>1</v>
      </c>
      <c r="I37">
        <v>25</v>
      </c>
      <c r="J37">
        <v>99</v>
      </c>
      <c r="K37">
        <v>6.31</v>
      </c>
      <c r="L37">
        <v>0</v>
      </c>
      <c r="M37">
        <v>3.6</v>
      </c>
      <c r="N37">
        <v>800979.78</v>
      </c>
      <c r="O37">
        <v>149242.26999999999</v>
      </c>
      <c r="P37">
        <f t="shared" si="1"/>
        <v>0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5"/>
        <v>0</v>
      </c>
      <c r="X37" s="8">
        <v>4</v>
      </c>
      <c r="Y37" s="8">
        <v>775471.15195994591</v>
      </c>
      <c r="Z37" s="8">
        <v>-116550.85195994587</v>
      </c>
    </row>
    <row r="38" spans="1:26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f t="shared" si="0"/>
        <v>1</v>
      </c>
      <c r="I38">
        <v>21</v>
      </c>
      <c r="J38">
        <v>83.1</v>
      </c>
      <c r="K38">
        <v>9.56</v>
      </c>
      <c r="L38">
        <v>1</v>
      </c>
      <c r="M38">
        <v>4.2</v>
      </c>
      <c r="N38">
        <v>820593.93</v>
      </c>
      <c r="O38">
        <v>115860.06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1</v>
      </c>
      <c r="T38">
        <f t="shared" si="5"/>
        <v>0</v>
      </c>
      <c r="X38" s="8">
        <v>5</v>
      </c>
      <c r="Y38" s="8">
        <v>761838.80182487844</v>
      </c>
      <c r="Z38" s="8">
        <v>-20497.361824878491</v>
      </c>
    </row>
    <row r="39" spans="1:26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f t="shared" si="0"/>
        <v>1</v>
      </c>
      <c r="I39">
        <v>19</v>
      </c>
      <c r="J39">
        <v>92.9</v>
      </c>
      <c r="K39">
        <v>9.0500000000000007</v>
      </c>
      <c r="L39">
        <v>0</v>
      </c>
      <c r="M39">
        <v>3.8</v>
      </c>
      <c r="N39">
        <v>718330.53</v>
      </c>
      <c r="O39">
        <v>93247.9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5"/>
        <v>0</v>
      </c>
      <c r="X39" s="8">
        <v>6</v>
      </c>
      <c r="Y39" s="8">
        <v>799213.44401424867</v>
      </c>
      <c r="Z39" s="8">
        <v>-37378.104014248704</v>
      </c>
    </row>
    <row r="40" spans="1:26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f t="shared" si="0"/>
        <v>1</v>
      </c>
      <c r="I40">
        <v>19</v>
      </c>
      <c r="J40">
        <v>82.9</v>
      </c>
      <c r="K40">
        <v>5.05</v>
      </c>
      <c r="L40">
        <v>0</v>
      </c>
      <c r="M40">
        <v>4</v>
      </c>
      <c r="N40">
        <v>736633.4</v>
      </c>
      <c r="O40">
        <v>115654.66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5"/>
        <v>0</v>
      </c>
      <c r="X40" s="8">
        <v>7</v>
      </c>
      <c r="Y40" s="8">
        <v>804973.36656135763</v>
      </c>
      <c r="Z40" s="8">
        <v>1642.1734386424068</v>
      </c>
    </row>
    <row r="41" spans="1:26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f t="shared" si="0"/>
        <v>1</v>
      </c>
      <c r="I41">
        <v>24</v>
      </c>
      <c r="J41">
        <v>98.3</v>
      </c>
      <c r="K41">
        <v>0.89</v>
      </c>
      <c r="L41">
        <v>0</v>
      </c>
      <c r="M41">
        <v>3.8</v>
      </c>
      <c r="N41">
        <v>828623.85</v>
      </c>
      <c r="O41">
        <v>167320.51999999999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1</v>
      </c>
      <c r="T41">
        <f t="shared" si="5"/>
        <v>0</v>
      </c>
      <c r="X41" s="8">
        <v>8</v>
      </c>
      <c r="Y41" s="8">
        <v>760579.46111643268</v>
      </c>
      <c r="Z41" s="8">
        <v>89584.798883567331</v>
      </c>
    </row>
    <row r="42" spans="1:26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f t="shared" si="0"/>
        <v>0</v>
      </c>
      <c r="I42">
        <v>11</v>
      </c>
      <c r="J42">
        <v>95.2</v>
      </c>
      <c r="K42">
        <v>5.57</v>
      </c>
      <c r="L42">
        <v>0</v>
      </c>
      <c r="M42">
        <v>4.4000000000000004</v>
      </c>
      <c r="N42">
        <v>592195.85</v>
      </c>
      <c r="O42">
        <v>92291.56</v>
      </c>
      <c r="P42">
        <f t="shared" si="1"/>
        <v>0</v>
      </c>
      <c r="Q42">
        <f t="shared" si="2"/>
        <v>1</v>
      </c>
      <c r="R42">
        <f t="shared" si="3"/>
        <v>0</v>
      </c>
      <c r="S42">
        <f t="shared" si="4"/>
        <v>1</v>
      </c>
      <c r="T42">
        <f t="shared" si="5"/>
        <v>0</v>
      </c>
      <c r="X42" s="8">
        <v>9</v>
      </c>
      <c r="Y42" s="8">
        <v>839122.97620610567</v>
      </c>
      <c r="Z42" s="8">
        <v>91458.723793894285</v>
      </c>
    </row>
    <row r="43" spans="1:26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f t="shared" si="0"/>
        <v>0</v>
      </c>
      <c r="I43">
        <v>10</v>
      </c>
      <c r="J43">
        <v>75.400000000000006</v>
      </c>
      <c r="K43">
        <v>1.06</v>
      </c>
      <c r="L43">
        <v>0</v>
      </c>
      <c r="M43">
        <v>4.4000000000000004</v>
      </c>
      <c r="N43">
        <v>532644.46</v>
      </c>
      <c r="O43">
        <v>60681.32</v>
      </c>
      <c r="P43">
        <f t="shared" si="1"/>
        <v>0</v>
      </c>
      <c r="Q43">
        <f t="shared" si="2"/>
        <v>1</v>
      </c>
      <c r="R43">
        <f t="shared" si="3"/>
        <v>0</v>
      </c>
      <c r="S43">
        <f t="shared" si="4"/>
        <v>1</v>
      </c>
      <c r="T43">
        <f t="shared" si="5"/>
        <v>0</v>
      </c>
      <c r="X43" s="8">
        <v>10</v>
      </c>
      <c r="Y43" s="8">
        <v>783552.53400812368</v>
      </c>
      <c r="Z43" s="8">
        <v>-4541.594008123735</v>
      </c>
    </row>
    <row r="44" spans="1:26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f t="shared" si="0"/>
        <v>0</v>
      </c>
      <c r="I44">
        <v>14</v>
      </c>
      <c r="J44">
        <v>88.2</v>
      </c>
      <c r="K44">
        <v>1.24</v>
      </c>
      <c r="L44">
        <v>1</v>
      </c>
      <c r="M44">
        <v>4</v>
      </c>
      <c r="N44">
        <v>657429.18000000005</v>
      </c>
      <c r="O44">
        <v>88919.74</v>
      </c>
      <c r="P44">
        <f t="shared" si="1"/>
        <v>0</v>
      </c>
      <c r="Q44">
        <f t="shared" si="2"/>
        <v>1</v>
      </c>
      <c r="R44">
        <f t="shared" si="3"/>
        <v>0</v>
      </c>
      <c r="S44">
        <f t="shared" si="4"/>
        <v>1</v>
      </c>
      <c r="T44">
        <f t="shared" si="5"/>
        <v>0</v>
      </c>
      <c r="X44" s="8">
        <v>11</v>
      </c>
      <c r="Y44" s="8">
        <v>736395.84591749916</v>
      </c>
      <c r="Z44" s="8">
        <v>-13335.085917499149</v>
      </c>
    </row>
    <row r="45" spans="1:26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f t="shared" si="0"/>
        <v>0</v>
      </c>
      <c r="I45">
        <v>13</v>
      </c>
      <c r="J45">
        <v>87.8</v>
      </c>
      <c r="K45">
        <v>4.5199999999999996</v>
      </c>
      <c r="L45">
        <v>0</v>
      </c>
      <c r="M45">
        <v>4.2</v>
      </c>
      <c r="N45">
        <v>605178</v>
      </c>
      <c r="O45">
        <v>106958.74</v>
      </c>
      <c r="P45">
        <f t="shared" si="1"/>
        <v>0</v>
      </c>
      <c r="Q45">
        <f t="shared" si="2"/>
        <v>1</v>
      </c>
      <c r="R45">
        <f t="shared" si="3"/>
        <v>0</v>
      </c>
      <c r="S45">
        <f t="shared" si="4"/>
        <v>1</v>
      </c>
      <c r="T45">
        <f t="shared" si="5"/>
        <v>0</v>
      </c>
      <c r="X45" s="8">
        <v>12</v>
      </c>
      <c r="Y45" s="8">
        <v>862172.2051033536</v>
      </c>
      <c r="Z45" s="8">
        <v>48619.734896646347</v>
      </c>
    </row>
    <row r="46" spans="1:26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f t="shared" si="0"/>
        <v>0</v>
      </c>
      <c r="I46">
        <v>17</v>
      </c>
      <c r="J46">
        <v>88.2</v>
      </c>
      <c r="K46">
        <v>9.58</v>
      </c>
      <c r="L46">
        <v>0</v>
      </c>
      <c r="M46">
        <v>3.2</v>
      </c>
      <c r="N46">
        <v>595467.6</v>
      </c>
      <c r="O46">
        <v>104276.46</v>
      </c>
      <c r="P46">
        <f t="shared" si="1"/>
        <v>0</v>
      </c>
      <c r="Q46">
        <f t="shared" si="2"/>
        <v>0</v>
      </c>
      <c r="R46">
        <f t="shared" si="3"/>
        <v>1</v>
      </c>
      <c r="S46">
        <f t="shared" si="4"/>
        <v>0</v>
      </c>
      <c r="T46">
        <f t="shared" si="5"/>
        <v>0</v>
      </c>
      <c r="X46" s="8">
        <v>13</v>
      </c>
      <c r="Y46" s="8">
        <v>906751.87738530547</v>
      </c>
      <c r="Z46" s="8">
        <v>15416.722614694503</v>
      </c>
    </row>
    <row r="47" spans="1:26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f t="shared" si="0"/>
        <v>0</v>
      </c>
      <c r="I47">
        <v>14</v>
      </c>
      <c r="J47">
        <v>98.6</v>
      </c>
      <c r="K47">
        <v>5.52</v>
      </c>
      <c r="L47">
        <v>0</v>
      </c>
      <c r="M47">
        <v>3.5</v>
      </c>
      <c r="N47">
        <v>599603.4</v>
      </c>
      <c r="O47">
        <v>112685.12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5"/>
        <v>0</v>
      </c>
      <c r="X47" s="8">
        <v>14</v>
      </c>
      <c r="Y47" s="8">
        <v>794711.19444486336</v>
      </c>
      <c r="Z47" s="8">
        <v>-68104.914444863331</v>
      </c>
    </row>
    <row r="48" spans="1:26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f t="shared" si="0"/>
        <v>0</v>
      </c>
      <c r="I48">
        <v>11</v>
      </c>
      <c r="J48">
        <v>90.9</v>
      </c>
      <c r="K48">
        <v>2.7</v>
      </c>
      <c r="L48">
        <v>1</v>
      </c>
      <c r="M48">
        <v>3.2</v>
      </c>
      <c r="N48">
        <v>614800.09</v>
      </c>
      <c r="O48">
        <v>100044.2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5"/>
        <v>0</v>
      </c>
      <c r="X48" s="8">
        <v>15</v>
      </c>
      <c r="Y48" s="8">
        <v>753281.3514456976</v>
      </c>
      <c r="Z48" s="8">
        <v>-6780.2614456976298</v>
      </c>
    </row>
    <row r="49" spans="1:26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f t="shared" si="0"/>
        <v>0</v>
      </c>
      <c r="I49">
        <v>15</v>
      </c>
      <c r="J49">
        <v>88</v>
      </c>
      <c r="K49">
        <v>9.64</v>
      </c>
      <c r="L49">
        <v>0</v>
      </c>
      <c r="M49">
        <v>3.3</v>
      </c>
      <c r="N49">
        <v>585365.73</v>
      </c>
      <c r="O49">
        <v>81011.520000000004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5"/>
        <v>0</v>
      </c>
      <c r="X49" s="8">
        <v>16</v>
      </c>
      <c r="Y49" s="8">
        <v>858972.53446940111</v>
      </c>
      <c r="Z49" s="8">
        <v>-24955.514469401096</v>
      </c>
    </row>
    <row r="50" spans="1:26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f t="shared" si="0"/>
        <v>1</v>
      </c>
      <c r="I50">
        <v>11</v>
      </c>
      <c r="J50">
        <v>97.3</v>
      </c>
      <c r="K50">
        <v>3.49</v>
      </c>
      <c r="L50">
        <v>1</v>
      </c>
      <c r="M50">
        <v>4.7</v>
      </c>
      <c r="N50">
        <v>622811.74</v>
      </c>
      <c r="O50">
        <v>109978.35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1</v>
      </c>
      <c r="T50">
        <f t="shared" si="5"/>
        <v>0</v>
      </c>
      <c r="X50" s="8">
        <v>17</v>
      </c>
      <c r="Y50" s="8">
        <v>699033.51028207922</v>
      </c>
      <c r="Z50" s="8">
        <v>-32880.990282079205</v>
      </c>
    </row>
    <row r="51" spans="1:26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f t="shared" si="0"/>
        <v>1</v>
      </c>
      <c r="I51">
        <v>14</v>
      </c>
      <c r="J51">
        <v>71</v>
      </c>
      <c r="K51">
        <v>9.11</v>
      </c>
      <c r="L51">
        <v>0</v>
      </c>
      <c r="M51">
        <v>4.5999999999999996</v>
      </c>
      <c r="N51">
        <v>603297.56999999995</v>
      </c>
      <c r="O51">
        <v>60592.26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5"/>
        <v>0</v>
      </c>
      <c r="X51" s="8">
        <v>18</v>
      </c>
      <c r="Y51" s="8">
        <v>606850.32812692062</v>
      </c>
      <c r="Z51" s="8">
        <v>-33695.138126920676</v>
      </c>
    </row>
    <row r="52" spans="1:26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f t="shared" si="0"/>
        <v>1</v>
      </c>
      <c r="I52">
        <v>12</v>
      </c>
      <c r="J52">
        <v>80.400000000000006</v>
      </c>
      <c r="K52">
        <v>7.4</v>
      </c>
      <c r="L52">
        <v>0</v>
      </c>
      <c r="M52">
        <v>4.5</v>
      </c>
      <c r="N52">
        <v>625672.86</v>
      </c>
      <c r="O52">
        <v>118020.12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1</v>
      </c>
      <c r="T52">
        <f t="shared" si="5"/>
        <v>0</v>
      </c>
      <c r="X52" s="8">
        <v>19</v>
      </c>
      <c r="Y52" s="8">
        <v>682418.34893507068</v>
      </c>
      <c r="Z52" s="8">
        <v>-15845.148935070727</v>
      </c>
    </row>
    <row r="53" spans="1:26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f t="shared" si="0"/>
        <v>1</v>
      </c>
      <c r="I53">
        <v>19</v>
      </c>
      <c r="J53">
        <v>93.7</v>
      </c>
      <c r="K53">
        <v>7.16</v>
      </c>
      <c r="L53">
        <v>0</v>
      </c>
      <c r="M53">
        <v>4.5999999999999996</v>
      </c>
      <c r="N53">
        <v>773815.14</v>
      </c>
      <c r="O53">
        <v>133948.39000000001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1</v>
      </c>
      <c r="T53">
        <f t="shared" si="5"/>
        <v>0</v>
      </c>
      <c r="X53" s="8">
        <v>20</v>
      </c>
      <c r="Y53" s="8">
        <v>603623.44740455621</v>
      </c>
      <c r="Z53" s="8">
        <v>-12003.497404556256</v>
      </c>
    </row>
    <row r="54" spans="1:26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f t="shared" si="0"/>
        <v>0</v>
      </c>
      <c r="I54">
        <v>9</v>
      </c>
      <c r="J54">
        <v>84.3</v>
      </c>
      <c r="K54">
        <v>22.02</v>
      </c>
      <c r="L54">
        <v>0</v>
      </c>
      <c r="M54">
        <v>3.9</v>
      </c>
      <c r="N54">
        <v>463534.25</v>
      </c>
      <c r="O54">
        <v>81834.539999999994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>
        <f t="shared" si="5"/>
        <v>1</v>
      </c>
      <c r="X54" s="8">
        <v>21</v>
      </c>
      <c r="Y54" s="8">
        <v>517523.18923537963</v>
      </c>
      <c r="Z54" s="8">
        <v>-101801.36923537962</v>
      </c>
    </row>
    <row r="55" spans="1:26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f t="shared" si="0"/>
        <v>0</v>
      </c>
      <c r="I55">
        <v>14</v>
      </c>
      <c r="J55">
        <v>88.7</v>
      </c>
      <c r="K55">
        <v>6.18</v>
      </c>
      <c r="L55">
        <v>0</v>
      </c>
      <c r="M55">
        <v>4.7</v>
      </c>
      <c r="N55">
        <v>746677.75</v>
      </c>
      <c r="O55">
        <v>122437.84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>
        <f t="shared" si="5"/>
        <v>1</v>
      </c>
      <c r="X55" s="8">
        <v>22</v>
      </c>
      <c r="Y55" s="8">
        <v>502495.44007809501</v>
      </c>
      <c r="Z55" s="8">
        <v>-10590.310078095004</v>
      </c>
    </row>
    <row r="56" spans="1:26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f t="shared" si="0"/>
        <v>0</v>
      </c>
      <c r="I56">
        <v>14</v>
      </c>
      <c r="J56">
        <v>88</v>
      </c>
      <c r="K56">
        <v>1.76</v>
      </c>
      <c r="L56">
        <v>0</v>
      </c>
      <c r="M56">
        <v>4.3</v>
      </c>
      <c r="N56">
        <v>720852.5</v>
      </c>
      <c r="O56">
        <v>98565.62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>
        <f t="shared" si="5"/>
        <v>1</v>
      </c>
      <c r="X56" s="8">
        <v>23</v>
      </c>
      <c r="Y56" s="8">
        <v>555447.61013952433</v>
      </c>
      <c r="Z56" s="8">
        <v>481.78986047569197</v>
      </c>
    </row>
    <row r="57" spans="1:26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f t="shared" si="0"/>
        <v>0</v>
      </c>
      <c r="I57">
        <v>13</v>
      </c>
      <c r="J57">
        <v>89.3</v>
      </c>
      <c r="K57">
        <v>0.47</v>
      </c>
      <c r="L57">
        <v>0</v>
      </c>
      <c r="M57">
        <v>4.0999999999999996</v>
      </c>
      <c r="N57">
        <v>487464.91</v>
      </c>
      <c r="O57">
        <v>64562.26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5"/>
        <v>1</v>
      </c>
      <c r="X57" s="8">
        <v>24</v>
      </c>
      <c r="Y57" s="8">
        <v>547598.82441293076</v>
      </c>
      <c r="Z57" s="8">
        <v>18212.165587069234</v>
      </c>
    </row>
    <row r="58" spans="1:26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f t="shared" si="0"/>
        <v>0</v>
      </c>
      <c r="I58">
        <v>12</v>
      </c>
      <c r="J58">
        <v>94.8</v>
      </c>
      <c r="K58">
        <v>0.2</v>
      </c>
      <c r="L58">
        <v>0</v>
      </c>
      <c r="M58">
        <v>3.5</v>
      </c>
      <c r="N58">
        <v>518049.26</v>
      </c>
      <c r="O58">
        <v>108592.49</v>
      </c>
      <c r="P58">
        <f t="shared" si="1"/>
        <v>0</v>
      </c>
      <c r="Q58">
        <f t="shared" si="2"/>
        <v>1</v>
      </c>
      <c r="R58">
        <f t="shared" si="3"/>
        <v>0</v>
      </c>
      <c r="S58">
        <f t="shared" si="4"/>
        <v>0</v>
      </c>
      <c r="T58">
        <f t="shared" si="5"/>
        <v>0</v>
      </c>
      <c r="X58" s="8">
        <v>25</v>
      </c>
      <c r="Y58" s="8">
        <v>804668.77643318055</v>
      </c>
      <c r="Z58" s="8">
        <v>7102.363566819462</v>
      </c>
    </row>
    <row r="59" spans="1:26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f t="shared" si="0"/>
        <v>0</v>
      </c>
      <c r="I59">
        <v>12</v>
      </c>
      <c r="J59">
        <v>76</v>
      </c>
      <c r="K59">
        <v>5.1100000000000003</v>
      </c>
      <c r="L59">
        <v>0</v>
      </c>
      <c r="M59">
        <v>3.7</v>
      </c>
      <c r="N59">
        <v>500298.48</v>
      </c>
      <c r="O59">
        <v>73461.320000000007</v>
      </c>
      <c r="P59">
        <f t="shared" si="1"/>
        <v>0</v>
      </c>
      <c r="Q59">
        <f t="shared" si="2"/>
        <v>1</v>
      </c>
      <c r="R59">
        <f t="shared" si="3"/>
        <v>0</v>
      </c>
      <c r="S59">
        <f t="shared" si="4"/>
        <v>0</v>
      </c>
      <c r="T59">
        <f t="shared" si="5"/>
        <v>0</v>
      </c>
      <c r="X59" s="8">
        <v>26</v>
      </c>
      <c r="Y59" s="8">
        <v>889039.36292144214</v>
      </c>
      <c r="Z59" s="8">
        <v>-88587.422921442194</v>
      </c>
    </row>
    <row r="60" spans="1:26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f t="shared" si="0"/>
        <v>0</v>
      </c>
      <c r="I60">
        <v>11</v>
      </c>
      <c r="J60">
        <v>87.1</v>
      </c>
      <c r="K60">
        <v>0.2</v>
      </c>
      <c r="L60">
        <v>0</v>
      </c>
      <c r="M60">
        <v>3.1</v>
      </c>
      <c r="N60">
        <v>617291.15</v>
      </c>
      <c r="O60">
        <v>117782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5"/>
        <v>0</v>
      </c>
      <c r="X60" s="8">
        <v>27</v>
      </c>
      <c r="Y60" s="8">
        <v>767388.0790518776</v>
      </c>
      <c r="Z60" s="8">
        <v>16284.740948122344</v>
      </c>
    </row>
    <row r="61" spans="1:26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f t="shared" si="0"/>
        <v>0</v>
      </c>
      <c r="I61">
        <v>14</v>
      </c>
      <c r="J61">
        <v>88.6</v>
      </c>
      <c r="K61">
        <v>13.59</v>
      </c>
      <c r="L61">
        <v>0</v>
      </c>
      <c r="M61">
        <v>3.1</v>
      </c>
      <c r="N61">
        <v>553756.43000000005</v>
      </c>
      <c r="O61">
        <v>86166.77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5"/>
        <v>0</v>
      </c>
      <c r="X61" s="8">
        <v>28</v>
      </c>
      <c r="Y61" s="8">
        <v>698577.23642136122</v>
      </c>
      <c r="Z61" s="8">
        <v>3064.7335786387557</v>
      </c>
    </row>
    <row r="62" spans="1:26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f t="shared" si="0"/>
        <v>0</v>
      </c>
      <c r="I62">
        <v>16</v>
      </c>
      <c r="J62">
        <v>95.6</v>
      </c>
      <c r="K62">
        <v>1.02</v>
      </c>
      <c r="L62">
        <v>0</v>
      </c>
      <c r="M62">
        <v>3.7</v>
      </c>
      <c r="N62">
        <v>749559.71</v>
      </c>
      <c r="O62">
        <v>144522.53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0</v>
      </c>
      <c r="T62">
        <f t="shared" si="5"/>
        <v>1</v>
      </c>
      <c r="X62" s="8">
        <v>29</v>
      </c>
      <c r="Y62" s="8">
        <v>607878.17724350502</v>
      </c>
      <c r="Z62" s="8">
        <v>-96033.767243505048</v>
      </c>
    </row>
    <row r="63" spans="1:26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f t="shared" si="0"/>
        <v>0</v>
      </c>
      <c r="I63">
        <v>12</v>
      </c>
      <c r="J63">
        <v>86.5</v>
      </c>
      <c r="K63">
        <v>1.64</v>
      </c>
      <c r="L63">
        <v>0</v>
      </c>
      <c r="M63">
        <v>3.8</v>
      </c>
      <c r="N63">
        <v>615966.48</v>
      </c>
      <c r="O63">
        <v>91509.38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1</v>
      </c>
      <c r="X63" s="8">
        <v>30</v>
      </c>
      <c r="Y63" s="8">
        <v>540000.69037001394</v>
      </c>
      <c r="Z63" s="8">
        <v>-2616.9003700139001</v>
      </c>
    </row>
    <row r="64" spans="1:26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f t="shared" si="0"/>
        <v>0</v>
      </c>
      <c r="I64">
        <v>9</v>
      </c>
      <c r="J64">
        <v>88.7</v>
      </c>
      <c r="K64">
        <v>5.15</v>
      </c>
      <c r="L64">
        <v>0</v>
      </c>
      <c r="M64">
        <v>3.3</v>
      </c>
      <c r="N64">
        <v>572011.19999999995</v>
      </c>
      <c r="O64">
        <v>101409.68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1</v>
      </c>
      <c r="X64" s="8">
        <v>31</v>
      </c>
      <c r="Y64" s="8">
        <v>529320.40577941353</v>
      </c>
      <c r="Z64" s="8">
        <v>-29147.385779413511</v>
      </c>
    </row>
    <row r="65" spans="1:26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f t="shared" si="0"/>
        <v>0</v>
      </c>
      <c r="I65">
        <v>17</v>
      </c>
      <c r="J65">
        <v>91.1</v>
      </c>
      <c r="K65">
        <v>1.1100000000000001</v>
      </c>
      <c r="L65">
        <v>0</v>
      </c>
      <c r="M65">
        <v>3.5</v>
      </c>
      <c r="N65">
        <v>761860.19</v>
      </c>
      <c r="O65">
        <v>133279.38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0</v>
      </c>
      <c r="T65">
        <f t="shared" si="5"/>
        <v>1</v>
      </c>
      <c r="X65" s="8">
        <v>32</v>
      </c>
      <c r="Y65" s="8">
        <v>504203.16248342994</v>
      </c>
      <c r="Z65" s="8">
        <v>-76285.782483429939</v>
      </c>
    </row>
    <row r="66" spans="1:26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f t="shared" si="0"/>
        <v>0</v>
      </c>
      <c r="I66">
        <v>23</v>
      </c>
      <c r="J66">
        <v>95.1</v>
      </c>
      <c r="K66">
        <v>6.08</v>
      </c>
      <c r="L66">
        <v>1</v>
      </c>
      <c r="M66">
        <v>3.4</v>
      </c>
      <c r="N66">
        <v>784502.68</v>
      </c>
      <c r="O66">
        <v>129519.72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0</v>
      </c>
      <c r="T66">
        <f t="shared" si="5"/>
        <v>1</v>
      </c>
      <c r="X66" s="8">
        <v>33</v>
      </c>
      <c r="Y66" s="8">
        <v>770139.22784534784</v>
      </c>
      <c r="Z66" s="8">
        <v>-128274.19784534781</v>
      </c>
    </row>
    <row r="67" spans="1:26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f t="shared" ref="H67:H130" si="6">IF($C67="North",1,0)</f>
        <v>0</v>
      </c>
      <c r="I67">
        <v>18</v>
      </c>
      <c r="J67">
        <v>93.3</v>
      </c>
      <c r="K67">
        <v>10.91</v>
      </c>
      <c r="L67">
        <v>0</v>
      </c>
      <c r="M67">
        <v>3.6</v>
      </c>
      <c r="N67">
        <v>717141.55</v>
      </c>
      <c r="O67">
        <v>134013.60999999999</v>
      </c>
      <c r="P67">
        <f t="shared" ref="P67:P130" si="7">IF($C67="South",1,0)</f>
        <v>0</v>
      </c>
      <c r="Q67">
        <f t="shared" ref="Q67:Q130" si="8">IF($C67="East",1,0)</f>
        <v>0</v>
      </c>
      <c r="R67">
        <f t="shared" ref="R67:R130" si="9">IF($D67="Residential",1,0)</f>
        <v>0</v>
      </c>
      <c r="S67">
        <f t="shared" ref="S67:S130" si="10">IF($D67="Mall",1,0)</f>
        <v>0</v>
      </c>
      <c r="T67">
        <f t="shared" ref="T67:T130" si="11">IF($D67="High Street",1,0)</f>
        <v>1</v>
      </c>
      <c r="X67" s="8">
        <v>34</v>
      </c>
      <c r="Y67" s="8">
        <v>878226.50031760894</v>
      </c>
      <c r="Z67" s="8">
        <v>-78748.740317608928</v>
      </c>
    </row>
    <row r="68" spans="1:26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f t="shared" si="6"/>
        <v>0</v>
      </c>
      <c r="I68">
        <v>20</v>
      </c>
      <c r="J68">
        <v>99</v>
      </c>
      <c r="K68">
        <v>19.010000000000002</v>
      </c>
      <c r="L68">
        <v>1</v>
      </c>
      <c r="M68">
        <v>3.2</v>
      </c>
      <c r="N68">
        <v>685379.08</v>
      </c>
      <c r="O68">
        <v>106898.82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0</v>
      </c>
      <c r="T68">
        <f t="shared" si="11"/>
        <v>1</v>
      </c>
      <c r="X68" s="8">
        <v>35</v>
      </c>
      <c r="Y68" s="8">
        <v>806432.44453818083</v>
      </c>
      <c r="Z68" s="8">
        <v>-7480.2745381807908</v>
      </c>
    </row>
    <row r="69" spans="1:26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f t="shared" si="6"/>
        <v>0</v>
      </c>
      <c r="I69">
        <v>17</v>
      </c>
      <c r="J69">
        <v>91.8</v>
      </c>
      <c r="K69">
        <v>0.77</v>
      </c>
      <c r="L69">
        <v>0</v>
      </c>
      <c r="M69">
        <v>3.4</v>
      </c>
      <c r="N69">
        <v>740496.65</v>
      </c>
      <c r="O69">
        <v>128020.9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0</v>
      </c>
      <c r="T69">
        <f t="shared" si="11"/>
        <v>1</v>
      </c>
      <c r="X69" s="8">
        <v>36</v>
      </c>
      <c r="Y69" s="8">
        <v>796818.8339149229</v>
      </c>
      <c r="Z69" s="8">
        <v>4160.9460850771284</v>
      </c>
    </row>
    <row r="70" spans="1:26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f t="shared" si="6"/>
        <v>0</v>
      </c>
      <c r="I70">
        <v>11</v>
      </c>
      <c r="J70">
        <v>88.9</v>
      </c>
      <c r="K70">
        <v>2.83</v>
      </c>
      <c r="L70">
        <v>1</v>
      </c>
      <c r="M70">
        <v>3.3</v>
      </c>
      <c r="N70">
        <v>661927.14</v>
      </c>
      <c r="O70">
        <v>79218.570000000007</v>
      </c>
      <c r="P70">
        <f t="shared" si="7"/>
        <v>0</v>
      </c>
      <c r="Q70">
        <f t="shared" si="8"/>
        <v>1</v>
      </c>
      <c r="R70">
        <f t="shared" si="9"/>
        <v>0</v>
      </c>
      <c r="S70">
        <f t="shared" si="10"/>
        <v>0</v>
      </c>
      <c r="T70">
        <f t="shared" si="11"/>
        <v>1</v>
      </c>
      <c r="X70" s="8">
        <v>37</v>
      </c>
      <c r="Y70" s="8">
        <v>782193.62809675792</v>
      </c>
      <c r="Z70" s="8">
        <v>38400.301903242129</v>
      </c>
    </row>
    <row r="71" spans="1:26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f t="shared" si="6"/>
        <v>0</v>
      </c>
      <c r="I71">
        <v>11</v>
      </c>
      <c r="J71">
        <v>81.8</v>
      </c>
      <c r="K71">
        <v>2.33</v>
      </c>
      <c r="L71">
        <v>0</v>
      </c>
      <c r="M71">
        <v>3.3</v>
      </c>
      <c r="N71">
        <v>479050.5</v>
      </c>
      <c r="O71">
        <v>53651.11</v>
      </c>
      <c r="P71">
        <f t="shared" si="7"/>
        <v>0</v>
      </c>
      <c r="Q71">
        <f t="shared" si="8"/>
        <v>1</v>
      </c>
      <c r="R71">
        <f t="shared" si="9"/>
        <v>0</v>
      </c>
      <c r="S71">
        <f t="shared" si="10"/>
        <v>0</v>
      </c>
      <c r="T71">
        <f t="shared" si="11"/>
        <v>1</v>
      </c>
      <c r="X71" s="8">
        <v>38</v>
      </c>
      <c r="Y71" s="8">
        <v>737818.03873692348</v>
      </c>
      <c r="Z71" s="8">
        <v>-19487.508736923453</v>
      </c>
    </row>
    <row r="72" spans="1:26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f t="shared" si="6"/>
        <v>0</v>
      </c>
      <c r="I72">
        <v>7</v>
      </c>
      <c r="J72">
        <v>99</v>
      </c>
      <c r="K72">
        <v>1.43</v>
      </c>
      <c r="L72">
        <v>0</v>
      </c>
      <c r="M72">
        <v>3.2</v>
      </c>
      <c r="N72">
        <v>605023.87</v>
      </c>
      <c r="O72">
        <v>98545.81</v>
      </c>
      <c r="P72">
        <f t="shared" si="7"/>
        <v>0</v>
      </c>
      <c r="Q72">
        <f t="shared" si="8"/>
        <v>1</v>
      </c>
      <c r="R72">
        <f t="shared" si="9"/>
        <v>0</v>
      </c>
      <c r="S72">
        <f t="shared" si="10"/>
        <v>0</v>
      </c>
      <c r="T72">
        <f t="shared" si="11"/>
        <v>1</v>
      </c>
      <c r="X72" s="8">
        <v>39</v>
      </c>
      <c r="Y72" s="8">
        <v>750394.98707073811</v>
      </c>
      <c r="Z72" s="8">
        <v>-13761.587070738082</v>
      </c>
    </row>
    <row r="73" spans="1:26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f t="shared" si="6"/>
        <v>0</v>
      </c>
      <c r="I73">
        <v>12</v>
      </c>
      <c r="J73">
        <v>88</v>
      </c>
      <c r="L73">
        <v>0</v>
      </c>
      <c r="M73">
        <v>3.5</v>
      </c>
      <c r="N73">
        <v>674774.09</v>
      </c>
      <c r="O73">
        <v>141917.59</v>
      </c>
      <c r="P73">
        <f t="shared" si="7"/>
        <v>0</v>
      </c>
      <c r="Q73">
        <f t="shared" si="8"/>
        <v>1</v>
      </c>
      <c r="R73">
        <f t="shared" si="9"/>
        <v>0</v>
      </c>
      <c r="S73">
        <f t="shared" si="10"/>
        <v>0</v>
      </c>
      <c r="T73">
        <f t="shared" si="11"/>
        <v>1</v>
      </c>
      <c r="X73" s="8">
        <v>40</v>
      </c>
      <c r="Y73" s="8">
        <v>796726.53330956178</v>
      </c>
      <c r="Z73" s="8">
        <v>31897.316690438194</v>
      </c>
    </row>
    <row r="74" spans="1:26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f t="shared" si="6"/>
        <v>0</v>
      </c>
      <c r="I74">
        <v>13</v>
      </c>
      <c r="J74">
        <v>78.8</v>
      </c>
      <c r="K74">
        <v>4.91</v>
      </c>
      <c r="L74">
        <v>0</v>
      </c>
      <c r="M74">
        <v>4.5</v>
      </c>
      <c r="N74">
        <v>616069.41</v>
      </c>
      <c r="O74">
        <v>54453.99</v>
      </c>
      <c r="P74">
        <f t="shared" si="7"/>
        <v>0</v>
      </c>
      <c r="Q74">
        <f t="shared" si="8"/>
        <v>1</v>
      </c>
      <c r="R74">
        <f t="shared" si="9"/>
        <v>1</v>
      </c>
      <c r="S74">
        <f t="shared" si="10"/>
        <v>0</v>
      </c>
      <c r="T74">
        <f t="shared" si="11"/>
        <v>0</v>
      </c>
      <c r="X74" s="8">
        <v>41</v>
      </c>
      <c r="Y74" s="8">
        <v>556782.23638429516</v>
      </c>
      <c r="Z74" s="8">
        <v>35413.613615704817</v>
      </c>
    </row>
    <row r="75" spans="1:26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f t="shared" si="6"/>
        <v>0</v>
      </c>
      <c r="I75">
        <v>19</v>
      </c>
      <c r="J75">
        <v>94.6</v>
      </c>
      <c r="K75">
        <v>7.03</v>
      </c>
      <c r="L75">
        <v>0</v>
      </c>
      <c r="M75">
        <v>4.4000000000000004</v>
      </c>
      <c r="N75">
        <v>630829.93999999994</v>
      </c>
      <c r="O75">
        <v>117090.02</v>
      </c>
      <c r="P75">
        <f t="shared" si="7"/>
        <v>0</v>
      </c>
      <c r="Q75">
        <f t="shared" si="8"/>
        <v>1</v>
      </c>
      <c r="R75">
        <f t="shared" si="9"/>
        <v>1</v>
      </c>
      <c r="S75">
        <f t="shared" si="10"/>
        <v>0</v>
      </c>
      <c r="T75">
        <f t="shared" si="11"/>
        <v>0</v>
      </c>
      <c r="X75" s="8">
        <v>42</v>
      </c>
      <c r="Y75" s="8">
        <v>555336.75875122438</v>
      </c>
      <c r="Z75" s="8">
        <v>-22692.298751224414</v>
      </c>
    </row>
    <row r="76" spans="1:26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f t="shared" si="6"/>
        <v>0</v>
      </c>
      <c r="I76">
        <v>20</v>
      </c>
      <c r="J76">
        <v>93.1</v>
      </c>
      <c r="K76">
        <v>0.28000000000000003</v>
      </c>
      <c r="L76">
        <v>1</v>
      </c>
      <c r="M76">
        <v>4.3</v>
      </c>
      <c r="N76">
        <v>788087.68</v>
      </c>
      <c r="O76">
        <v>116803.42</v>
      </c>
      <c r="P76">
        <f t="shared" si="7"/>
        <v>0</v>
      </c>
      <c r="Q76">
        <f t="shared" si="8"/>
        <v>1</v>
      </c>
      <c r="R76">
        <f t="shared" si="9"/>
        <v>1</v>
      </c>
      <c r="S76">
        <f t="shared" si="10"/>
        <v>0</v>
      </c>
      <c r="T76">
        <f t="shared" si="11"/>
        <v>0</v>
      </c>
      <c r="X76" s="8">
        <v>43</v>
      </c>
      <c r="Y76" s="8">
        <v>585882.65290090884</v>
      </c>
      <c r="Z76" s="8">
        <v>71546.52709909121</v>
      </c>
    </row>
    <row r="77" spans="1:26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f t="shared" si="6"/>
        <v>0</v>
      </c>
      <c r="I77">
        <v>20</v>
      </c>
      <c r="J77">
        <v>85.2</v>
      </c>
      <c r="K77">
        <v>3.61</v>
      </c>
      <c r="L77">
        <v>0</v>
      </c>
      <c r="M77">
        <v>4.5</v>
      </c>
      <c r="N77">
        <v>680840.36</v>
      </c>
      <c r="O77">
        <v>68007.679999999993</v>
      </c>
      <c r="P77">
        <f t="shared" si="7"/>
        <v>0</v>
      </c>
      <c r="Q77">
        <f t="shared" si="8"/>
        <v>1</v>
      </c>
      <c r="R77">
        <f t="shared" si="9"/>
        <v>1</v>
      </c>
      <c r="S77">
        <f t="shared" si="10"/>
        <v>0</v>
      </c>
      <c r="T77">
        <f t="shared" si="11"/>
        <v>0</v>
      </c>
      <c r="X77" s="8">
        <v>44</v>
      </c>
      <c r="Y77" s="8">
        <v>601448.46072989609</v>
      </c>
      <c r="Z77" s="8">
        <v>3729.5392701039091</v>
      </c>
    </row>
    <row r="78" spans="1:26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f t="shared" si="6"/>
        <v>0</v>
      </c>
      <c r="I78">
        <v>15</v>
      </c>
      <c r="J78">
        <v>77.7</v>
      </c>
      <c r="K78">
        <v>7.52</v>
      </c>
      <c r="L78">
        <v>1</v>
      </c>
      <c r="M78">
        <v>3.2</v>
      </c>
      <c r="N78">
        <v>643657.47</v>
      </c>
      <c r="O78">
        <v>87022.45</v>
      </c>
      <c r="P78">
        <f t="shared" si="7"/>
        <v>1</v>
      </c>
      <c r="Q78">
        <f t="shared" si="8"/>
        <v>0</v>
      </c>
      <c r="R78">
        <f t="shared" si="9"/>
        <v>0</v>
      </c>
      <c r="S78">
        <f t="shared" si="10"/>
        <v>0</v>
      </c>
      <c r="T78">
        <f t="shared" si="11"/>
        <v>1</v>
      </c>
      <c r="X78" s="8">
        <v>45</v>
      </c>
      <c r="Y78" s="8">
        <v>731569.8519977415</v>
      </c>
      <c r="Z78" s="8">
        <v>-136102.25199774152</v>
      </c>
    </row>
    <row r="79" spans="1:26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f t="shared" si="6"/>
        <v>0</v>
      </c>
      <c r="I79">
        <v>12</v>
      </c>
      <c r="J79">
        <v>85.4</v>
      </c>
      <c r="K79">
        <v>2.58</v>
      </c>
      <c r="L79">
        <v>0</v>
      </c>
      <c r="M79">
        <v>2.9</v>
      </c>
      <c r="N79">
        <v>691112.6</v>
      </c>
      <c r="O79">
        <v>109212.83</v>
      </c>
      <c r="P79">
        <f t="shared" si="7"/>
        <v>1</v>
      </c>
      <c r="Q79">
        <f t="shared" si="8"/>
        <v>0</v>
      </c>
      <c r="R79">
        <f t="shared" si="9"/>
        <v>0</v>
      </c>
      <c r="S79">
        <f t="shared" si="10"/>
        <v>0</v>
      </c>
      <c r="T79">
        <f t="shared" si="11"/>
        <v>1</v>
      </c>
      <c r="X79" s="8">
        <v>46</v>
      </c>
      <c r="Y79" s="8">
        <v>608200.31107214605</v>
      </c>
      <c r="Z79" s="8">
        <v>-8596.9110721460311</v>
      </c>
    </row>
    <row r="80" spans="1:26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f t="shared" si="6"/>
        <v>0</v>
      </c>
      <c r="I80">
        <v>16</v>
      </c>
      <c r="J80">
        <v>83.5</v>
      </c>
      <c r="K80">
        <v>2.29</v>
      </c>
      <c r="L80">
        <v>0</v>
      </c>
      <c r="M80">
        <v>3.3</v>
      </c>
      <c r="N80">
        <v>776922.17</v>
      </c>
      <c r="O80">
        <v>150701.93</v>
      </c>
      <c r="P80">
        <f t="shared" si="7"/>
        <v>1</v>
      </c>
      <c r="Q80">
        <f t="shared" si="8"/>
        <v>0</v>
      </c>
      <c r="R80">
        <f t="shared" si="9"/>
        <v>0</v>
      </c>
      <c r="S80">
        <f t="shared" si="10"/>
        <v>0</v>
      </c>
      <c r="T80">
        <f t="shared" si="11"/>
        <v>1</v>
      </c>
      <c r="X80" s="8">
        <v>47</v>
      </c>
      <c r="Y80" s="8">
        <v>581770.00515633717</v>
      </c>
      <c r="Z80" s="8">
        <v>33030.0848436628</v>
      </c>
    </row>
    <row r="81" spans="1:26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f t="shared" si="6"/>
        <v>0</v>
      </c>
      <c r="I81">
        <v>14</v>
      </c>
      <c r="J81">
        <v>81.3</v>
      </c>
      <c r="K81">
        <v>2.39</v>
      </c>
      <c r="L81">
        <v>0</v>
      </c>
      <c r="M81">
        <v>3.2</v>
      </c>
      <c r="N81">
        <v>636561.34</v>
      </c>
      <c r="O81">
        <v>93861.06</v>
      </c>
      <c r="P81">
        <f t="shared" si="7"/>
        <v>1</v>
      </c>
      <c r="Q81">
        <f t="shared" si="8"/>
        <v>0</v>
      </c>
      <c r="R81">
        <f t="shared" si="9"/>
        <v>0</v>
      </c>
      <c r="S81">
        <f t="shared" si="10"/>
        <v>0</v>
      </c>
      <c r="T81">
        <f t="shared" si="11"/>
        <v>1</v>
      </c>
      <c r="X81" s="8">
        <v>48</v>
      </c>
      <c r="Y81" s="8">
        <v>578113.19297493261</v>
      </c>
      <c r="Z81" s="8">
        <v>7252.5370250673732</v>
      </c>
    </row>
    <row r="82" spans="1:26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f t="shared" si="6"/>
        <v>0</v>
      </c>
      <c r="I82">
        <v>15</v>
      </c>
      <c r="J82">
        <v>83.9</v>
      </c>
      <c r="K82">
        <v>5.24</v>
      </c>
      <c r="L82">
        <v>0</v>
      </c>
      <c r="M82">
        <v>4.5999999999999996</v>
      </c>
      <c r="N82">
        <v>621369.57999999996</v>
      </c>
      <c r="O82">
        <v>85493.64</v>
      </c>
      <c r="P82">
        <f t="shared" si="7"/>
        <v>0</v>
      </c>
      <c r="Q82">
        <f t="shared" si="8"/>
        <v>0</v>
      </c>
      <c r="R82">
        <f t="shared" si="9"/>
        <v>0</v>
      </c>
      <c r="S82">
        <f t="shared" si="10"/>
        <v>1</v>
      </c>
      <c r="T82">
        <f t="shared" si="11"/>
        <v>0</v>
      </c>
      <c r="X82" s="8">
        <v>49</v>
      </c>
      <c r="Y82" s="8">
        <v>623226.68920045486</v>
      </c>
      <c r="Z82" s="8">
        <v>-414.94920045486651</v>
      </c>
    </row>
    <row r="83" spans="1:26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f t="shared" si="6"/>
        <v>0</v>
      </c>
      <c r="I83">
        <v>10</v>
      </c>
      <c r="J83">
        <v>89.6</v>
      </c>
      <c r="K83">
        <v>3.17</v>
      </c>
      <c r="L83">
        <v>0</v>
      </c>
      <c r="M83">
        <v>4.5999999999999996</v>
      </c>
      <c r="N83">
        <v>682208.01</v>
      </c>
      <c r="O83">
        <v>110318.84</v>
      </c>
      <c r="P83">
        <f t="shared" si="7"/>
        <v>0</v>
      </c>
      <c r="Q83">
        <f t="shared" si="8"/>
        <v>0</v>
      </c>
      <c r="R83">
        <f t="shared" si="9"/>
        <v>0</v>
      </c>
      <c r="S83">
        <f t="shared" si="10"/>
        <v>1</v>
      </c>
      <c r="T83">
        <f t="shared" si="11"/>
        <v>0</v>
      </c>
      <c r="X83" s="8">
        <v>50</v>
      </c>
      <c r="Y83" s="8">
        <v>632240.49622935988</v>
      </c>
      <c r="Z83" s="8">
        <v>-28942.926229359931</v>
      </c>
    </row>
    <row r="84" spans="1:26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f t="shared" si="6"/>
        <v>0</v>
      </c>
      <c r="I84">
        <v>15</v>
      </c>
      <c r="J84">
        <v>87.1</v>
      </c>
      <c r="K84">
        <v>2.66</v>
      </c>
      <c r="L84">
        <v>0</v>
      </c>
      <c r="M84">
        <v>4.5999999999999996</v>
      </c>
      <c r="N84">
        <v>727241.86</v>
      </c>
      <c r="O84">
        <v>155810.29999999999</v>
      </c>
      <c r="P84">
        <f t="shared" si="7"/>
        <v>0</v>
      </c>
      <c r="Q84">
        <f t="shared" si="8"/>
        <v>0</v>
      </c>
      <c r="R84">
        <f t="shared" si="9"/>
        <v>0</v>
      </c>
      <c r="S84">
        <f t="shared" si="10"/>
        <v>1</v>
      </c>
      <c r="T84">
        <f t="shared" si="11"/>
        <v>0</v>
      </c>
      <c r="X84" s="8">
        <v>51</v>
      </c>
      <c r="Y84" s="8">
        <v>635647.49185678782</v>
      </c>
      <c r="Z84" s="8">
        <v>-9974.6318567878334</v>
      </c>
    </row>
    <row r="85" spans="1:26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f t="shared" si="6"/>
        <v>0</v>
      </c>
      <c r="I85">
        <v>8</v>
      </c>
      <c r="J85">
        <v>83.6</v>
      </c>
      <c r="K85">
        <v>1.41</v>
      </c>
      <c r="L85">
        <v>0</v>
      </c>
      <c r="M85">
        <v>4.2</v>
      </c>
      <c r="N85">
        <v>569100.78</v>
      </c>
      <c r="O85">
        <v>104808.78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1</v>
      </c>
      <c r="T85">
        <f t="shared" si="11"/>
        <v>0</v>
      </c>
      <c r="X85" s="8">
        <v>52</v>
      </c>
      <c r="Y85" s="8">
        <v>719440.41930099169</v>
      </c>
      <c r="Z85" s="8">
        <v>54374.720699008321</v>
      </c>
    </row>
    <row r="86" spans="1:26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f t="shared" si="6"/>
        <v>0</v>
      </c>
      <c r="I86">
        <v>7</v>
      </c>
      <c r="J86">
        <v>85.4</v>
      </c>
      <c r="K86">
        <v>7.34</v>
      </c>
      <c r="L86">
        <v>0</v>
      </c>
      <c r="M86">
        <v>4.9000000000000004</v>
      </c>
      <c r="N86">
        <v>574436.29</v>
      </c>
      <c r="O86">
        <v>80271.990000000005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0</v>
      </c>
      <c r="T86">
        <f t="shared" si="11"/>
        <v>1</v>
      </c>
      <c r="X86" s="8">
        <v>53</v>
      </c>
      <c r="Y86" s="8">
        <v>569841.23169364699</v>
      </c>
      <c r="Z86" s="8">
        <v>-106306.98169364699</v>
      </c>
    </row>
    <row r="87" spans="1:26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f t="shared" si="6"/>
        <v>0</v>
      </c>
      <c r="I87">
        <v>11</v>
      </c>
      <c r="J87">
        <v>91.9</v>
      </c>
      <c r="K87">
        <v>5.95</v>
      </c>
      <c r="L87">
        <v>0</v>
      </c>
      <c r="M87" s="4" t="s">
        <v>118</v>
      </c>
      <c r="N87">
        <v>611766.72</v>
      </c>
      <c r="O87">
        <v>88275.61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0</v>
      </c>
      <c r="T87">
        <f t="shared" si="11"/>
        <v>1</v>
      </c>
      <c r="X87" s="8">
        <v>54</v>
      </c>
      <c r="Y87" s="8">
        <v>694485.38681705634</v>
      </c>
      <c r="Z87" s="8">
        <v>52192.363182943664</v>
      </c>
    </row>
    <row r="88" spans="1:26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f t="shared" si="6"/>
        <v>0</v>
      </c>
      <c r="I88">
        <v>11</v>
      </c>
      <c r="J88">
        <v>88.5</v>
      </c>
      <c r="K88">
        <v>15.51</v>
      </c>
      <c r="L88">
        <v>0</v>
      </c>
      <c r="M88">
        <v>4.3</v>
      </c>
      <c r="N88">
        <v>614596.31999999995</v>
      </c>
      <c r="O88">
        <v>131199.41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0</v>
      </c>
      <c r="T88">
        <f t="shared" si="11"/>
        <v>1</v>
      </c>
      <c r="X88" s="8">
        <v>55</v>
      </c>
      <c r="Y88" s="8">
        <v>674897.70809636801</v>
      </c>
      <c r="Z88" s="8">
        <v>45954.791903631995</v>
      </c>
    </row>
    <row r="89" spans="1:26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f t="shared" si="6"/>
        <v>0</v>
      </c>
      <c r="I89">
        <v>9</v>
      </c>
      <c r="J89">
        <v>86.4</v>
      </c>
      <c r="K89">
        <v>4.3099999999999996</v>
      </c>
      <c r="L89">
        <v>0</v>
      </c>
      <c r="M89">
        <v>4.5999999999999996</v>
      </c>
      <c r="N89">
        <v>450711.92</v>
      </c>
      <c r="O89">
        <v>90043.76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0</v>
      </c>
      <c r="T89">
        <f t="shared" si="11"/>
        <v>1</v>
      </c>
      <c r="X89" s="8">
        <v>56</v>
      </c>
      <c r="Y89" s="8">
        <v>528103.15514020121</v>
      </c>
      <c r="Z89" s="8">
        <v>-40638.245140201238</v>
      </c>
    </row>
    <row r="90" spans="1:26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f t="shared" si="6"/>
        <v>0</v>
      </c>
      <c r="I90">
        <v>18</v>
      </c>
      <c r="J90">
        <v>79.2</v>
      </c>
      <c r="K90">
        <v>6.61</v>
      </c>
      <c r="L90">
        <v>1</v>
      </c>
      <c r="M90">
        <v>4.0999999999999996</v>
      </c>
      <c r="N90">
        <v>711213.46</v>
      </c>
      <c r="O90">
        <v>105863.26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1</v>
      </c>
      <c r="T90">
        <f t="shared" si="11"/>
        <v>0</v>
      </c>
      <c r="X90" s="8">
        <v>57</v>
      </c>
      <c r="Y90" s="8">
        <v>509458.8326143857</v>
      </c>
      <c r="Z90" s="8">
        <v>8590.4273856143118</v>
      </c>
    </row>
    <row r="91" spans="1:26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f t="shared" si="6"/>
        <v>0</v>
      </c>
      <c r="I91">
        <v>12</v>
      </c>
      <c r="J91">
        <v>87</v>
      </c>
      <c r="K91">
        <v>4.26</v>
      </c>
      <c r="L91">
        <v>0</v>
      </c>
      <c r="M91">
        <v>4.5</v>
      </c>
      <c r="N91">
        <v>627171.9</v>
      </c>
      <c r="O91">
        <v>105772.75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1</v>
      </c>
      <c r="T91">
        <f t="shared" si="11"/>
        <v>0</v>
      </c>
      <c r="X91" s="8">
        <v>58</v>
      </c>
      <c r="Y91" s="8">
        <v>555716.74300885655</v>
      </c>
      <c r="Z91" s="8">
        <v>-55418.263008856564</v>
      </c>
    </row>
    <row r="92" spans="1:26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f t="shared" si="6"/>
        <v>0</v>
      </c>
      <c r="I92">
        <v>17</v>
      </c>
      <c r="J92">
        <v>91.8</v>
      </c>
      <c r="K92">
        <v>5.75</v>
      </c>
      <c r="L92">
        <v>0</v>
      </c>
      <c r="M92">
        <v>4.7</v>
      </c>
      <c r="N92">
        <v>739852.58</v>
      </c>
      <c r="O92">
        <v>129386.43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1</v>
      </c>
      <c r="T92">
        <f t="shared" si="11"/>
        <v>0</v>
      </c>
      <c r="X92" s="8">
        <v>59</v>
      </c>
      <c r="Y92" s="8">
        <v>664579.10259470681</v>
      </c>
      <c r="Z92" s="8">
        <v>-47287.952594706789</v>
      </c>
    </row>
    <row r="93" spans="1:26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f t="shared" si="6"/>
        <v>0</v>
      </c>
      <c r="I93">
        <v>11</v>
      </c>
      <c r="J93">
        <v>84.7</v>
      </c>
      <c r="K93">
        <v>0.33</v>
      </c>
      <c r="L93">
        <v>0</v>
      </c>
      <c r="M93">
        <v>4.3</v>
      </c>
      <c r="N93">
        <v>586307.22</v>
      </c>
      <c r="O93">
        <v>73927.850000000006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1</v>
      </c>
      <c r="T93">
        <f t="shared" si="11"/>
        <v>0</v>
      </c>
      <c r="X93" s="8">
        <v>60</v>
      </c>
      <c r="Y93" s="8">
        <v>606126.76016147586</v>
      </c>
      <c r="Z93" s="8">
        <v>-52370.330161475809</v>
      </c>
    </row>
    <row r="94" spans="1:26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f t="shared" si="6"/>
        <v>0</v>
      </c>
      <c r="I94">
        <v>14</v>
      </c>
      <c r="J94">
        <v>91.1</v>
      </c>
      <c r="K94">
        <v>2.92</v>
      </c>
      <c r="L94">
        <v>0</v>
      </c>
      <c r="M94">
        <v>4.5999999999999996</v>
      </c>
      <c r="N94">
        <v>585937.48</v>
      </c>
      <c r="O94">
        <v>82624.2</v>
      </c>
      <c r="P94">
        <f t="shared" si="7"/>
        <v>0</v>
      </c>
      <c r="Q94">
        <f t="shared" si="8"/>
        <v>0</v>
      </c>
      <c r="R94">
        <f t="shared" si="9"/>
        <v>1</v>
      </c>
      <c r="S94">
        <f t="shared" si="10"/>
        <v>0</v>
      </c>
      <c r="T94">
        <f t="shared" si="11"/>
        <v>0</v>
      </c>
      <c r="X94" s="8">
        <v>61</v>
      </c>
      <c r="Y94" s="8">
        <v>664692.48030474735</v>
      </c>
      <c r="Z94" s="8">
        <v>84867.229695252609</v>
      </c>
    </row>
    <row r="95" spans="1:26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f t="shared" si="6"/>
        <v>0</v>
      </c>
      <c r="I95">
        <v>16</v>
      </c>
      <c r="J95">
        <v>90.9</v>
      </c>
      <c r="K95">
        <v>1.64</v>
      </c>
      <c r="L95">
        <v>0</v>
      </c>
      <c r="M95">
        <v>4.5</v>
      </c>
      <c r="N95">
        <v>753473.55</v>
      </c>
      <c r="O95">
        <v>151527.22</v>
      </c>
      <c r="P95">
        <f t="shared" si="7"/>
        <v>0</v>
      </c>
      <c r="Q95">
        <f t="shared" si="8"/>
        <v>0</v>
      </c>
      <c r="R95">
        <f t="shared" si="9"/>
        <v>1</v>
      </c>
      <c r="S95">
        <f t="shared" si="10"/>
        <v>0</v>
      </c>
      <c r="T95">
        <f t="shared" si="11"/>
        <v>0</v>
      </c>
      <c r="X95" s="8">
        <v>62</v>
      </c>
      <c r="Y95" s="8">
        <v>575018.01073485031</v>
      </c>
      <c r="Z95" s="8">
        <v>40948.469265149673</v>
      </c>
    </row>
    <row r="96" spans="1:26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f t="shared" si="6"/>
        <v>0</v>
      </c>
      <c r="I96">
        <v>17</v>
      </c>
      <c r="J96">
        <v>91.3</v>
      </c>
      <c r="K96">
        <v>0.8</v>
      </c>
      <c r="L96">
        <v>0</v>
      </c>
      <c r="M96">
        <v>5</v>
      </c>
      <c r="N96">
        <v>838250.32</v>
      </c>
      <c r="O96">
        <v>122939.34</v>
      </c>
      <c r="P96">
        <f t="shared" si="7"/>
        <v>0</v>
      </c>
      <c r="Q96">
        <f t="shared" si="8"/>
        <v>0</v>
      </c>
      <c r="R96">
        <f t="shared" si="9"/>
        <v>1</v>
      </c>
      <c r="S96">
        <f t="shared" si="10"/>
        <v>0</v>
      </c>
      <c r="T96">
        <f t="shared" si="11"/>
        <v>0</v>
      </c>
      <c r="X96" s="8">
        <v>63</v>
      </c>
      <c r="Y96" s="8">
        <v>583481.94477141998</v>
      </c>
      <c r="Z96" s="8">
        <v>-11470.744771420024</v>
      </c>
    </row>
    <row r="97" spans="1:26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f t="shared" si="6"/>
        <v>0</v>
      </c>
      <c r="I97">
        <v>15</v>
      </c>
      <c r="J97">
        <v>94.1</v>
      </c>
      <c r="K97">
        <v>5.79</v>
      </c>
      <c r="L97">
        <v>0</v>
      </c>
      <c r="M97">
        <v>4.5</v>
      </c>
      <c r="N97">
        <v>607898.12</v>
      </c>
      <c r="O97">
        <v>135404.85</v>
      </c>
      <c r="P97">
        <f t="shared" si="7"/>
        <v>0</v>
      </c>
      <c r="Q97">
        <f t="shared" si="8"/>
        <v>0</v>
      </c>
      <c r="R97">
        <f t="shared" si="9"/>
        <v>1</v>
      </c>
      <c r="S97">
        <f t="shared" si="10"/>
        <v>0</v>
      </c>
      <c r="T97">
        <f t="shared" si="11"/>
        <v>0</v>
      </c>
      <c r="X97" s="8">
        <v>64</v>
      </c>
      <c r="Y97" s="8">
        <v>709500.52251573</v>
      </c>
      <c r="Z97" s="8">
        <v>52359.667484269943</v>
      </c>
    </row>
    <row r="98" spans="1:26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f t="shared" si="6"/>
        <v>0</v>
      </c>
      <c r="I98">
        <v>19</v>
      </c>
      <c r="J98">
        <v>91</v>
      </c>
      <c r="K98">
        <v>19.600000000000001</v>
      </c>
      <c r="L98">
        <v>0</v>
      </c>
      <c r="M98">
        <v>4.4000000000000004</v>
      </c>
      <c r="N98">
        <v>691113.62</v>
      </c>
      <c r="O98">
        <v>135145.44</v>
      </c>
      <c r="P98">
        <f t="shared" si="7"/>
        <v>0</v>
      </c>
      <c r="Q98">
        <f t="shared" si="8"/>
        <v>0</v>
      </c>
      <c r="R98">
        <f t="shared" si="9"/>
        <v>0</v>
      </c>
      <c r="S98">
        <f t="shared" si="10"/>
        <v>1</v>
      </c>
      <c r="T98">
        <f t="shared" si="11"/>
        <v>0</v>
      </c>
      <c r="X98" s="8">
        <v>65</v>
      </c>
      <c r="Y98" s="8">
        <v>784873.98042679613</v>
      </c>
      <c r="Z98" s="8">
        <v>-371.30042679607868</v>
      </c>
    </row>
    <row r="99" spans="1:26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f t="shared" si="6"/>
        <v>0</v>
      </c>
      <c r="I99">
        <v>13</v>
      </c>
      <c r="J99">
        <v>85.8</v>
      </c>
      <c r="K99">
        <v>7.57</v>
      </c>
      <c r="L99">
        <v>0</v>
      </c>
      <c r="M99">
        <v>4.3</v>
      </c>
      <c r="N99">
        <v>735509.4</v>
      </c>
      <c r="O99">
        <v>83895.96</v>
      </c>
      <c r="P99">
        <f t="shared" si="7"/>
        <v>0</v>
      </c>
      <c r="Q99">
        <f t="shared" si="8"/>
        <v>0</v>
      </c>
      <c r="R99">
        <f t="shared" si="9"/>
        <v>0</v>
      </c>
      <c r="S99">
        <f t="shared" si="10"/>
        <v>1</v>
      </c>
      <c r="T99">
        <f t="shared" si="11"/>
        <v>0</v>
      </c>
      <c r="X99" s="8">
        <v>66</v>
      </c>
      <c r="Y99" s="8">
        <v>717812.79134865908</v>
      </c>
      <c r="Z99" s="8">
        <v>-671.24134865903761</v>
      </c>
    </row>
    <row r="100" spans="1:26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f t="shared" si="6"/>
        <v>0</v>
      </c>
      <c r="I100">
        <v>15</v>
      </c>
      <c r="J100">
        <v>89.7</v>
      </c>
      <c r="L100">
        <v>0</v>
      </c>
      <c r="M100">
        <v>4.3</v>
      </c>
      <c r="N100">
        <v>605775.32999999996</v>
      </c>
      <c r="O100">
        <v>107194.6</v>
      </c>
      <c r="P100">
        <f t="shared" si="7"/>
        <v>0</v>
      </c>
      <c r="Q100">
        <f t="shared" si="8"/>
        <v>0</v>
      </c>
      <c r="R100">
        <f t="shared" si="9"/>
        <v>0</v>
      </c>
      <c r="S100">
        <f t="shared" si="10"/>
        <v>1</v>
      </c>
      <c r="T100">
        <f t="shared" si="11"/>
        <v>0</v>
      </c>
      <c r="X100" s="8">
        <v>67</v>
      </c>
      <c r="Y100" s="8">
        <v>810994.78287815105</v>
      </c>
      <c r="Z100" s="8">
        <v>-125615.70287815109</v>
      </c>
    </row>
    <row r="101" spans="1:26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f t="shared" si="6"/>
        <v>0</v>
      </c>
      <c r="I101">
        <v>11</v>
      </c>
      <c r="J101">
        <v>91</v>
      </c>
      <c r="K101">
        <v>2.7</v>
      </c>
      <c r="L101">
        <v>0</v>
      </c>
      <c r="M101">
        <v>4.4000000000000004</v>
      </c>
      <c r="N101">
        <v>675177.68</v>
      </c>
      <c r="O101">
        <v>105628.68</v>
      </c>
      <c r="P101">
        <f t="shared" si="7"/>
        <v>0</v>
      </c>
      <c r="Q101">
        <f t="shared" si="8"/>
        <v>0</v>
      </c>
      <c r="R101">
        <f t="shared" si="9"/>
        <v>0</v>
      </c>
      <c r="S101">
        <f t="shared" si="10"/>
        <v>1</v>
      </c>
      <c r="T101">
        <f t="shared" si="11"/>
        <v>0</v>
      </c>
      <c r="X101" s="8">
        <v>68</v>
      </c>
      <c r="Y101" s="8">
        <v>723106.28244786826</v>
      </c>
      <c r="Z101" s="8">
        <v>17390.367552131764</v>
      </c>
    </row>
    <row r="102" spans="1:26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f t="shared" si="6"/>
        <v>0</v>
      </c>
      <c r="I102">
        <v>12</v>
      </c>
      <c r="J102">
        <v>91.4</v>
      </c>
      <c r="K102">
        <v>0.2</v>
      </c>
      <c r="L102">
        <v>0</v>
      </c>
      <c r="M102">
        <v>4.4000000000000004</v>
      </c>
      <c r="N102">
        <v>635181.35</v>
      </c>
      <c r="O102">
        <v>83341.25</v>
      </c>
      <c r="P102">
        <f t="shared" si="7"/>
        <v>0</v>
      </c>
      <c r="Q102">
        <f t="shared" si="8"/>
        <v>1</v>
      </c>
      <c r="R102">
        <f t="shared" si="9"/>
        <v>0</v>
      </c>
      <c r="S102">
        <f t="shared" si="10"/>
        <v>1</v>
      </c>
      <c r="T102">
        <f t="shared" si="11"/>
        <v>0</v>
      </c>
      <c r="X102" s="8">
        <v>69</v>
      </c>
      <c r="Y102" s="8">
        <v>595824.6024713146</v>
      </c>
      <c r="Z102" s="8">
        <v>66102.537528685411</v>
      </c>
    </row>
    <row r="103" spans="1:26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f t="shared" si="6"/>
        <v>0</v>
      </c>
      <c r="I103">
        <v>14</v>
      </c>
      <c r="J103">
        <v>90.4</v>
      </c>
      <c r="K103">
        <v>7.87</v>
      </c>
      <c r="L103">
        <v>0</v>
      </c>
      <c r="M103">
        <v>4.7</v>
      </c>
      <c r="N103">
        <v>586626.93999999994</v>
      </c>
      <c r="O103">
        <v>86498.55</v>
      </c>
      <c r="P103">
        <f t="shared" si="7"/>
        <v>0</v>
      </c>
      <c r="Q103">
        <f t="shared" si="8"/>
        <v>1</v>
      </c>
      <c r="R103">
        <f t="shared" si="9"/>
        <v>0</v>
      </c>
      <c r="S103">
        <f t="shared" si="10"/>
        <v>1</v>
      </c>
      <c r="T103">
        <f t="shared" si="11"/>
        <v>0</v>
      </c>
      <c r="X103" s="8">
        <v>70</v>
      </c>
      <c r="Y103" s="8">
        <v>527388.759222692</v>
      </c>
      <c r="Z103" s="8">
        <v>-48338.259222691995</v>
      </c>
    </row>
    <row r="104" spans="1:26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f t="shared" si="6"/>
        <v>0</v>
      </c>
      <c r="I104">
        <v>14</v>
      </c>
      <c r="J104">
        <v>80.5</v>
      </c>
      <c r="K104">
        <v>0.77</v>
      </c>
      <c r="L104">
        <v>1</v>
      </c>
      <c r="M104">
        <v>4.4000000000000004</v>
      </c>
      <c r="N104">
        <v>740102.64</v>
      </c>
      <c r="O104">
        <v>114299.07</v>
      </c>
      <c r="P104">
        <f t="shared" si="7"/>
        <v>0</v>
      </c>
      <c r="Q104">
        <f t="shared" si="8"/>
        <v>1</v>
      </c>
      <c r="R104">
        <f t="shared" si="9"/>
        <v>0</v>
      </c>
      <c r="S104">
        <f t="shared" si="10"/>
        <v>1</v>
      </c>
      <c r="T104">
        <f t="shared" si="11"/>
        <v>0</v>
      </c>
      <c r="X104" s="8">
        <v>71</v>
      </c>
      <c r="Y104" s="8">
        <v>565672.40574079135</v>
      </c>
      <c r="Z104" s="8">
        <v>39351.464259208646</v>
      </c>
    </row>
    <row r="105" spans="1:26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f t="shared" si="6"/>
        <v>0</v>
      </c>
      <c r="I105">
        <v>7</v>
      </c>
      <c r="J105">
        <v>92.1</v>
      </c>
      <c r="K105">
        <v>1.48</v>
      </c>
      <c r="L105">
        <v>0</v>
      </c>
      <c r="M105">
        <v>5</v>
      </c>
      <c r="N105">
        <v>625514.04</v>
      </c>
      <c r="O105">
        <v>120685.08</v>
      </c>
      <c r="P105">
        <f t="shared" si="7"/>
        <v>0</v>
      </c>
      <c r="Q105">
        <f t="shared" si="8"/>
        <v>1</v>
      </c>
      <c r="R105">
        <f t="shared" si="9"/>
        <v>0</v>
      </c>
      <c r="S105">
        <f t="shared" si="10"/>
        <v>1</v>
      </c>
      <c r="T105">
        <f t="shared" si="11"/>
        <v>0</v>
      </c>
      <c r="X105" s="8">
        <v>72</v>
      </c>
      <c r="Y105" s="8">
        <v>650656.75905812986</v>
      </c>
      <c r="Z105" s="8">
        <v>24117.33094187011</v>
      </c>
    </row>
    <row r="106" spans="1:26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f t="shared" si="6"/>
        <v>0</v>
      </c>
      <c r="I106">
        <v>21</v>
      </c>
      <c r="J106">
        <v>82.3</v>
      </c>
      <c r="K106">
        <v>2.87</v>
      </c>
      <c r="L106">
        <v>0</v>
      </c>
      <c r="M106">
        <v>2.9</v>
      </c>
      <c r="N106">
        <v>727227.2</v>
      </c>
      <c r="O106">
        <v>121292.01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0</v>
      </c>
      <c r="T106">
        <f t="shared" si="11"/>
        <v>1</v>
      </c>
      <c r="X106" s="8">
        <v>73</v>
      </c>
      <c r="Y106" s="8">
        <v>633676.04109209729</v>
      </c>
      <c r="Z106" s="8">
        <v>-17606.631092097261</v>
      </c>
    </row>
    <row r="107" spans="1:26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f t="shared" si="6"/>
        <v>0</v>
      </c>
      <c r="I107">
        <v>21</v>
      </c>
      <c r="J107">
        <v>91.8</v>
      </c>
      <c r="K107">
        <v>2.83</v>
      </c>
      <c r="L107">
        <v>0</v>
      </c>
      <c r="M107">
        <v>3</v>
      </c>
      <c r="N107">
        <v>783797.89</v>
      </c>
      <c r="O107">
        <v>157620.70000000001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0</v>
      </c>
      <c r="T107">
        <f t="shared" si="11"/>
        <v>1</v>
      </c>
      <c r="X107" s="8">
        <v>74</v>
      </c>
      <c r="Y107" s="8">
        <v>691276.23939183634</v>
      </c>
      <c r="Z107" s="8">
        <v>-60446.299391836394</v>
      </c>
    </row>
    <row r="108" spans="1:26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f t="shared" si="6"/>
        <v>0</v>
      </c>
      <c r="I108">
        <v>14</v>
      </c>
      <c r="J108">
        <v>94.1</v>
      </c>
      <c r="K108">
        <v>0.25</v>
      </c>
      <c r="L108">
        <v>0</v>
      </c>
      <c r="M108">
        <v>3</v>
      </c>
      <c r="N108">
        <v>795153.84</v>
      </c>
      <c r="O108">
        <v>143194.21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0</v>
      </c>
      <c r="T108">
        <f t="shared" si="11"/>
        <v>1</v>
      </c>
      <c r="X108" s="8">
        <v>75</v>
      </c>
      <c r="Y108" s="8">
        <v>699258.91283686494</v>
      </c>
      <c r="Z108" s="8">
        <v>88828.767163135111</v>
      </c>
    </row>
    <row r="109" spans="1:26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f t="shared" si="6"/>
        <v>0</v>
      </c>
      <c r="I109">
        <v>15</v>
      </c>
      <c r="J109">
        <v>87</v>
      </c>
      <c r="K109">
        <v>13.33</v>
      </c>
      <c r="L109">
        <v>0</v>
      </c>
      <c r="M109">
        <v>3.2</v>
      </c>
      <c r="N109">
        <v>665594.93999999994</v>
      </c>
      <c r="O109">
        <v>127597.34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0</v>
      </c>
      <c r="T109">
        <f t="shared" si="11"/>
        <v>1</v>
      </c>
      <c r="X109" s="8">
        <v>76</v>
      </c>
      <c r="Y109" s="8">
        <v>732650.19316887658</v>
      </c>
      <c r="Z109" s="8">
        <v>-51809.83316887659</v>
      </c>
    </row>
    <row r="110" spans="1:26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f t="shared" si="6"/>
        <v>0</v>
      </c>
      <c r="I110">
        <v>20</v>
      </c>
      <c r="J110">
        <v>73.8</v>
      </c>
      <c r="K110">
        <v>6.35</v>
      </c>
      <c r="L110">
        <v>1</v>
      </c>
      <c r="M110">
        <v>3.8</v>
      </c>
      <c r="N110">
        <v>709478.39</v>
      </c>
      <c r="O110">
        <v>71294.27</v>
      </c>
      <c r="P110">
        <f t="shared" si="7"/>
        <v>0</v>
      </c>
      <c r="Q110">
        <f t="shared" si="8"/>
        <v>1</v>
      </c>
      <c r="R110">
        <f t="shared" si="9"/>
        <v>0</v>
      </c>
      <c r="S110">
        <f t="shared" si="10"/>
        <v>1</v>
      </c>
      <c r="T110">
        <f t="shared" si="11"/>
        <v>0</v>
      </c>
      <c r="X110" s="8">
        <v>77</v>
      </c>
      <c r="Y110" s="8">
        <v>686535.41862681031</v>
      </c>
      <c r="Z110" s="8">
        <v>-42877.948626810336</v>
      </c>
    </row>
    <row r="111" spans="1:26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f t="shared" si="6"/>
        <v>0</v>
      </c>
      <c r="I111">
        <v>13</v>
      </c>
      <c r="J111">
        <v>86.5</v>
      </c>
      <c r="K111">
        <v>6.69</v>
      </c>
      <c r="L111">
        <v>0</v>
      </c>
      <c r="M111">
        <v>3.8</v>
      </c>
      <c r="N111">
        <v>664162.49</v>
      </c>
      <c r="O111">
        <v>98291.06</v>
      </c>
      <c r="P111">
        <f t="shared" si="7"/>
        <v>0</v>
      </c>
      <c r="Q111">
        <f t="shared" si="8"/>
        <v>1</v>
      </c>
      <c r="R111">
        <f t="shared" si="9"/>
        <v>0</v>
      </c>
      <c r="S111">
        <f t="shared" si="10"/>
        <v>1</v>
      </c>
      <c r="T111">
        <f t="shared" si="11"/>
        <v>0</v>
      </c>
      <c r="X111" s="8">
        <v>78</v>
      </c>
      <c r="Y111" s="8">
        <v>663913.97339053103</v>
      </c>
      <c r="Z111" s="8">
        <v>27198.626609468949</v>
      </c>
    </row>
    <row r="112" spans="1:26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f t="shared" si="6"/>
        <v>0</v>
      </c>
      <c r="I112">
        <v>13</v>
      </c>
      <c r="J112">
        <v>89.9</v>
      </c>
      <c r="K112">
        <v>1.28</v>
      </c>
      <c r="L112">
        <v>0</v>
      </c>
      <c r="M112">
        <v>4.2</v>
      </c>
      <c r="N112">
        <v>633494.21</v>
      </c>
      <c r="O112">
        <v>105739.47</v>
      </c>
      <c r="P112">
        <f t="shared" si="7"/>
        <v>0</v>
      </c>
      <c r="Q112">
        <f t="shared" si="8"/>
        <v>1</v>
      </c>
      <c r="R112">
        <f t="shared" si="9"/>
        <v>0</v>
      </c>
      <c r="S112">
        <f t="shared" si="10"/>
        <v>1</v>
      </c>
      <c r="T112">
        <f t="shared" si="11"/>
        <v>0</v>
      </c>
      <c r="X112" s="8">
        <v>79</v>
      </c>
      <c r="Y112" s="8">
        <v>733795.08735294873</v>
      </c>
      <c r="Z112" s="8">
        <v>43127.082647051313</v>
      </c>
    </row>
    <row r="113" spans="1:26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f t="shared" si="6"/>
        <v>0</v>
      </c>
      <c r="I113">
        <v>12</v>
      </c>
      <c r="J113">
        <v>91.7</v>
      </c>
      <c r="K113">
        <v>0.92</v>
      </c>
      <c r="L113">
        <v>0</v>
      </c>
      <c r="M113">
        <v>3.5</v>
      </c>
      <c r="N113">
        <v>713611.16</v>
      </c>
      <c r="O113">
        <v>129717.18</v>
      </c>
      <c r="P113">
        <f t="shared" si="7"/>
        <v>0</v>
      </c>
      <c r="Q113">
        <f t="shared" si="8"/>
        <v>1</v>
      </c>
      <c r="R113">
        <f t="shared" si="9"/>
        <v>0</v>
      </c>
      <c r="S113">
        <f t="shared" si="10"/>
        <v>1</v>
      </c>
      <c r="T113">
        <f t="shared" si="11"/>
        <v>0</v>
      </c>
      <c r="X113" s="8">
        <v>80</v>
      </c>
      <c r="Y113" s="8">
        <v>673631.62515207252</v>
      </c>
      <c r="Z113" s="8">
        <v>-37070.285152072553</v>
      </c>
    </row>
    <row r="114" spans="1:26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f t="shared" si="6"/>
        <v>0</v>
      </c>
      <c r="I114">
        <v>22</v>
      </c>
      <c r="J114">
        <v>76.400000000000006</v>
      </c>
      <c r="K114">
        <v>1.05</v>
      </c>
      <c r="L114">
        <v>0</v>
      </c>
      <c r="M114">
        <v>3.1</v>
      </c>
      <c r="N114">
        <v>778397.97</v>
      </c>
      <c r="O114">
        <v>120044.41</v>
      </c>
      <c r="P114">
        <f t="shared" si="7"/>
        <v>0</v>
      </c>
      <c r="Q114">
        <f t="shared" si="8"/>
        <v>0</v>
      </c>
      <c r="R114">
        <f t="shared" si="9"/>
        <v>0</v>
      </c>
      <c r="S114">
        <f t="shared" si="10"/>
        <v>1</v>
      </c>
      <c r="T114">
        <f t="shared" si="11"/>
        <v>0</v>
      </c>
      <c r="X114" s="8">
        <v>81</v>
      </c>
      <c r="Y114" s="8">
        <v>641934.67763094511</v>
      </c>
      <c r="Z114" s="8">
        <v>-20565.097630945151</v>
      </c>
    </row>
    <row r="115" spans="1:26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f t="shared" si="6"/>
        <v>0</v>
      </c>
      <c r="I115">
        <v>22</v>
      </c>
      <c r="J115">
        <v>94.3</v>
      </c>
      <c r="K115">
        <v>2.67</v>
      </c>
      <c r="L115">
        <v>0</v>
      </c>
      <c r="M115">
        <v>3.5</v>
      </c>
      <c r="N115">
        <v>873380.02</v>
      </c>
      <c r="O115">
        <v>149734.76</v>
      </c>
      <c r="P115">
        <f t="shared" si="7"/>
        <v>0</v>
      </c>
      <c r="Q115">
        <f t="shared" si="8"/>
        <v>0</v>
      </c>
      <c r="R115">
        <f t="shared" si="9"/>
        <v>0</v>
      </c>
      <c r="S115">
        <f t="shared" si="10"/>
        <v>1</v>
      </c>
      <c r="T115">
        <f t="shared" si="11"/>
        <v>0</v>
      </c>
      <c r="X115" s="8">
        <v>82</v>
      </c>
      <c r="Y115" s="8">
        <v>616994.00117289869</v>
      </c>
      <c r="Z115" s="8">
        <v>65214.008827101323</v>
      </c>
    </row>
    <row r="116" spans="1:26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f t="shared" si="6"/>
        <v>0</v>
      </c>
      <c r="I116">
        <v>23</v>
      </c>
      <c r="J116">
        <v>88.4</v>
      </c>
      <c r="K116">
        <v>5.91</v>
      </c>
      <c r="L116">
        <v>0</v>
      </c>
      <c r="M116">
        <v>2.8</v>
      </c>
      <c r="N116">
        <v>697287.9</v>
      </c>
      <c r="O116">
        <v>128208.33</v>
      </c>
      <c r="P116">
        <f t="shared" si="7"/>
        <v>0</v>
      </c>
      <c r="Q116">
        <f t="shared" si="8"/>
        <v>0</v>
      </c>
      <c r="R116">
        <f t="shared" si="9"/>
        <v>0</v>
      </c>
      <c r="S116">
        <f t="shared" si="10"/>
        <v>1</v>
      </c>
      <c r="T116">
        <f t="shared" si="11"/>
        <v>0</v>
      </c>
      <c r="X116" s="8">
        <v>83</v>
      </c>
      <c r="Y116" s="8">
        <v>638088.34420019609</v>
      </c>
      <c r="Z116" s="8">
        <v>89153.515799803892</v>
      </c>
    </row>
    <row r="117" spans="1:26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f t="shared" si="6"/>
        <v>0</v>
      </c>
      <c r="I117">
        <v>23</v>
      </c>
      <c r="J117">
        <v>92.5</v>
      </c>
      <c r="K117">
        <v>6.37</v>
      </c>
      <c r="L117">
        <v>0</v>
      </c>
      <c r="M117">
        <v>3.3</v>
      </c>
      <c r="N117">
        <v>718074.79</v>
      </c>
      <c r="O117">
        <v>115819.87</v>
      </c>
      <c r="P117">
        <f t="shared" si="7"/>
        <v>0</v>
      </c>
      <c r="Q117">
        <f t="shared" si="8"/>
        <v>0</v>
      </c>
      <c r="R117">
        <f t="shared" si="9"/>
        <v>0</v>
      </c>
      <c r="S117">
        <f t="shared" si="10"/>
        <v>1</v>
      </c>
      <c r="T117">
        <f t="shared" si="11"/>
        <v>0</v>
      </c>
      <c r="X117" s="8">
        <v>84</v>
      </c>
      <c r="Y117" s="8">
        <v>565660.06639544654</v>
      </c>
      <c r="Z117" s="8">
        <v>3440.7136045534862</v>
      </c>
    </row>
    <row r="118" spans="1:26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f t="shared" si="6"/>
        <v>0</v>
      </c>
      <c r="I118">
        <v>17</v>
      </c>
      <c r="J118">
        <v>91</v>
      </c>
      <c r="K118">
        <v>2.4900000000000002</v>
      </c>
      <c r="L118">
        <v>1</v>
      </c>
      <c r="M118">
        <v>4.7</v>
      </c>
      <c r="N118">
        <v>714942.43</v>
      </c>
      <c r="O118">
        <v>94697.71</v>
      </c>
      <c r="P118">
        <f t="shared" si="7"/>
        <v>0</v>
      </c>
      <c r="Q118">
        <f t="shared" si="8"/>
        <v>0</v>
      </c>
      <c r="R118">
        <f t="shared" si="9"/>
        <v>1</v>
      </c>
      <c r="S118">
        <f t="shared" si="10"/>
        <v>0</v>
      </c>
      <c r="T118">
        <f t="shared" si="11"/>
        <v>0</v>
      </c>
      <c r="X118" s="8">
        <v>85</v>
      </c>
      <c r="Y118" s="8">
        <v>564342.88301705685</v>
      </c>
      <c r="Z118" s="8">
        <v>10093.406982943183</v>
      </c>
    </row>
    <row r="119" spans="1:26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f t="shared" si="6"/>
        <v>0</v>
      </c>
      <c r="I119">
        <v>19</v>
      </c>
      <c r="J119">
        <v>84.1</v>
      </c>
      <c r="K119">
        <v>1.56</v>
      </c>
      <c r="L119">
        <v>0</v>
      </c>
      <c r="M119">
        <v>4.7</v>
      </c>
      <c r="N119">
        <v>820519.04</v>
      </c>
      <c r="O119">
        <v>99035.88</v>
      </c>
      <c r="P119">
        <f t="shared" si="7"/>
        <v>0</v>
      </c>
      <c r="Q119">
        <f t="shared" si="8"/>
        <v>0</v>
      </c>
      <c r="R119">
        <f t="shared" si="9"/>
        <v>1</v>
      </c>
      <c r="S119">
        <f t="shared" si="10"/>
        <v>0</v>
      </c>
      <c r="T119">
        <f t="shared" si="11"/>
        <v>0</v>
      </c>
      <c r="X119" s="8">
        <v>86</v>
      </c>
      <c r="Y119" s="8">
        <v>623476.43244029605</v>
      </c>
      <c r="Z119" s="8">
        <v>-11709.712440296076</v>
      </c>
    </row>
    <row r="120" spans="1:26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f t="shared" si="6"/>
        <v>0</v>
      </c>
      <c r="I120">
        <v>18</v>
      </c>
      <c r="J120">
        <v>96.8</v>
      </c>
      <c r="K120">
        <v>14.95</v>
      </c>
      <c r="L120">
        <v>0</v>
      </c>
      <c r="M120">
        <v>4.5999999999999996</v>
      </c>
      <c r="N120">
        <v>684217.32</v>
      </c>
      <c r="O120">
        <v>136217.19</v>
      </c>
      <c r="P120">
        <f t="shared" si="7"/>
        <v>0</v>
      </c>
      <c r="Q120">
        <f t="shared" si="8"/>
        <v>0</v>
      </c>
      <c r="R120">
        <f t="shared" si="9"/>
        <v>1</v>
      </c>
      <c r="S120">
        <f t="shared" si="10"/>
        <v>0</v>
      </c>
      <c r="T120">
        <f t="shared" si="11"/>
        <v>0</v>
      </c>
      <c r="X120" s="8">
        <v>87</v>
      </c>
      <c r="Y120" s="8">
        <v>617827.19936171197</v>
      </c>
      <c r="Z120" s="8">
        <v>-3230.8793617120245</v>
      </c>
    </row>
    <row r="121" spans="1:26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f t="shared" si="6"/>
        <v>0</v>
      </c>
      <c r="I121">
        <v>19</v>
      </c>
      <c r="J121">
        <v>95.7</v>
      </c>
      <c r="K121">
        <v>7.85</v>
      </c>
      <c r="L121">
        <v>0</v>
      </c>
      <c r="M121">
        <v>4.7</v>
      </c>
      <c r="N121">
        <v>735480.19</v>
      </c>
      <c r="O121">
        <v>88342.11</v>
      </c>
      <c r="P121">
        <f t="shared" si="7"/>
        <v>0</v>
      </c>
      <c r="Q121">
        <f t="shared" si="8"/>
        <v>0</v>
      </c>
      <c r="R121">
        <f t="shared" si="9"/>
        <v>1</v>
      </c>
      <c r="S121">
        <f t="shared" si="10"/>
        <v>0</v>
      </c>
      <c r="T121">
        <f t="shared" si="11"/>
        <v>0</v>
      </c>
      <c r="X121" s="8">
        <v>88</v>
      </c>
      <c r="Y121" s="8">
        <v>458644.74563212355</v>
      </c>
      <c r="Z121" s="8">
        <v>-7932.8256321235676</v>
      </c>
    </row>
    <row r="122" spans="1:26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f t="shared" si="6"/>
        <v>1</v>
      </c>
      <c r="I122">
        <v>13</v>
      </c>
      <c r="J122">
        <v>83</v>
      </c>
      <c r="K122">
        <v>6.8</v>
      </c>
      <c r="L122">
        <v>0</v>
      </c>
      <c r="M122">
        <v>4.4000000000000004</v>
      </c>
      <c r="N122">
        <v>509484.81</v>
      </c>
      <c r="O122">
        <v>85742.36</v>
      </c>
      <c r="P122">
        <f t="shared" si="7"/>
        <v>0</v>
      </c>
      <c r="Q122">
        <f t="shared" si="8"/>
        <v>0</v>
      </c>
      <c r="R122">
        <f t="shared" si="9"/>
        <v>0</v>
      </c>
      <c r="S122">
        <f t="shared" si="10"/>
        <v>0</v>
      </c>
      <c r="T122">
        <f t="shared" si="11"/>
        <v>1</v>
      </c>
      <c r="X122" s="8">
        <v>89</v>
      </c>
      <c r="Y122" s="8">
        <v>697720.12468882394</v>
      </c>
      <c r="Z122" s="8">
        <v>13493.335311176023</v>
      </c>
    </row>
    <row r="123" spans="1:26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f t="shared" si="6"/>
        <v>1</v>
      </c>
      <c r="I123">
        <v>14</v>
      </c>
      <c r="J123">
        <v>89.4</v>
      </c>
      <c r="K123">
        <v>2.2000000000000002</v>
      </c>
      <c r="L123">
        <v>0</v>
      </c>
      <c r="M123">
        <v>3.7</v>
      </c>
      <c r="N123">
        <v>654317.09</v>
      </c>
      <c r="O123">
        <v>121446.89</v>
      </c>
      <c r="P123">
        <f t="shared" si="7"/>
        <v>0</v>
      </c>
      <c r="Q123">
        <f t="shared" si="8"/>
        <v>0</v>
      </c>
      <c r="R123">
        <f t="shared" si="9"/>
        <v>0</v>
      </c>
      <c r="S123">
        <f t="shared" si="10"/>
        <v>0</v>
      </c>
      <c r="T123">
        <f t="shared" si="11"/>
        <v>1</v>
      </c>
      <c r="X123" s="8">
        <v>90</v>
      </c>
      <c r="Y123" s="8">
        <v>747333.37845070811</v>
      </c>
      <c r="Z123" s="8">
        <v>-120161.47845070809</v>
      </c>
    </row>
    <row r="124" spans="1:26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f t="shared" si="6"/>
        <v>1</v>
      </c>
      <c r="I124">
        <v>15</v>
      </c>
      <c r="J124">
        <v>85.7</v>
      </c>
      <c r="K124">
        <v>1.88</v>
      </c>
      <c r="L124">
        <v>0</v>
      </c>
      <c r="M124">
        <v>3.9</v>
      </c>
      <c r="N124">
        <v>557487.26</v>
      </c>
      <c r="O124">
        <v>76432.19</v>
      </c>
      <c r="P124">
        <f t="shared" si="7"/>
        <v>0</v>
      </c>
      <c r="Q124">
        <f t="shared" si="8"/>
        <v>0</v>
      </c>
      <c r="R124">
        <f t="shared" si="9"/>
        <v>0</v>
      </c>
      <c r="S124">
        <f t="shared" si="10"/>
        <v>0</v>
      </c>
      <c r="T124">
        <f t="shared" si="11"/>
        <v>1</v>
      </c>
      <c r="X124" s="8">
        <v>91</v>
      </c>
      <c r="Y124" s="8">
        <v>697639.42139524082</v>
      </c>
      <c r="Z124" s="8">
        <v>42213.158604759141</v>
      </c>
    </row>
    <row r="125" spans="1:26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f t="shared" si="6"/>
        <v>1</v>
      </c>
      <c r="I125">
        <v>10</v>
      </c>
      <c r="J125">
        <v>97.8</v>
      </c>
      <c r="K125">
        <v>15.79</v>
      </c>
      <c r="L125">
        <v>0</v>
      </c>
      <c r="M125">
        <v>4.4000000000000004</v>
      </c>
      <c r="N125">
        <v>441275.42</v>
      </c>
      <c r="O125">
        <v>58234.87</v>
      </c>
      <c r="P125">
        <f t="shared" si="7"/>
        <v>0</v>
      </c>
      <c r="Q125">
        <f t="shared" si="8"/>
        <v>0</v>
      </c>
      <c r="R125">
        <f t="shared" si="9"/>
        <v>0</v>
      </c>
      <c r="S125">
        <f t="shared" si="10"/>
        <v>0</v>
      </c>
      <c r="T125">
        <f t="shared" si="11"/>
        <v>1</v>
      </c>
      <c r="X125" s="8">
        <v>92</v>
      </c>
      <c r="Y125" s="8">
        <v>563321.32756371086</v>
      </c>
      <c r="Z125" s="8">
        <v>22985.892436289112</v>
      </c>
    </row>
    <row r="126" spans="1:26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f t="shared" si="6"/>
        <v>0</v>
      </c>
      <c r="I126">
        <v>25</v>
      </c>
      <c r="J126">
        <v>88.1</v>
      </c>
      <c r="K126">
        <v>2.34</v>
      </c>
      <c r="L126">
        <v>1</v>
      </c>
      <c r="M126">
        <v>4.8</v>
      </c>
      <c r="N126">
        <v>914544.17</v>
      </c>
      <c r="O126">
        <v>79831.73</v>
      </c>
      <c r="P126">
        <f t="shared" si="7"/>
        <v>1</v>
      </c>
      <c r="Q126">
        <f t="shared" si="8"/>
        <v>0</v>
      </c>
      <c r="R126">
        <f t="shared" si="9"/>
        <v>0</v>
      </c>
      <c r="S126">
        <f t="shared" si="10"/>
        <v>0</v>
      </c>
      <c r="T126">
        <f t="shared" si="11"/>
        <v>1</v>
      </c>
      <c r="X126" s="8">
        <v>93</v>
      </c>
      <c r="Y126" s="8">
        <v>585691.28516037692</v>
      </c>
      <c r="Z126" s="8">
        <v>246.19483962305821</v>
      </c>
    </row>
    <row r="127" spans="1:26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f t="shared" si="6"/>
        <v>0</v>
      </c>
      <c r="I127">
        <v>27</v>
      </c>
      <c r="J127">
        <v>98.3</v>
      </c>
      <c r="K127">
        <v>0.54</v>
      </c>
      <c r="L127">
        <v>0</v>
      </c>
      <c r="M127">
        <v>4.4000000000000004</v>
      </c>
      <c r="N127">
        <v>842439.67</v>
      </c>
      <c r="O127">
        <v>169983.63</v>
      </c>
      <c r="P127">
        <f t="shared" si="7"/>
        <v>1</v>
      </c>
      <c r="Q127">
        <f t="shared" si="8"/>
        <v>0</v>
      </c>
      <c r="R127">
        <f t="shared" si="9"/>
        <v>0</v>
      </c>
      <c r="S127">
        <f t="shared" si="10"/>
        <v>0</v>
      </c>
      <c r="T127">
        <f t="shared" si="11"/>
        <v>1</v>
      </c>
      <c r="X127" s="8">
        <v>94</v>
      </c>
      <c r="Y127" s="8">
        <v>701048.32539094368</v>
      </c>
      <c r="Z127" s="8">
        <v>52425.224609056371</v>
      </c>
    </row>
    <row r="128" spans="1:26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f t="shared" si="6"/>
        <v>0</v>
      </c>
      <c r="I128">
        <v>20</v>
      </c>
      <c r="J128">
        <v>88.2</v>
      </c>
      <c r="K128">
        <v>5.37</v>
      </c>
      <c r="L128">
        <v>1</v>
      </c>
      <c r="M128">
        <v>4.9000000000000004</v>
      </c>
      <c r="N128">
        <v>842157.92</v>
      </c>
      <c r="O128">
        <v>107348.22</v>
      </c>
      <c r="P128">
        <f t="shared" si="7"/>
        <v>1</v>
      </c>
      <c r="Q128">
        <f t="shared" si="8"/>
        <v>0</v>
      </c>
      <c r="R128">
        <f t="shared" si="9"/>
        <v>0</v>
      </c>
      <c r="S128">
        <f t="shared" si="10"/>
        <v>0</v>
      </c>
      <c r="T128">
        <f t="shared" si="11"/>
        <v>1</v>
      </c>
      <c r="X128" s="8">
        <v>95</v>
      </c>
      <c r="Y128" s="8">
        <v>765984.54502858943</v>
      </c>
      <c r="Z128" s="8">
        <v>72265.774971410516</v>
      </c>
    </row>
    <row r="129" spans="1:26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f t="shared" si="6"/>
        <v>0</v>
      </c>
      <c r="I129">
        <v>19</v>
      </c>
      <c r="J129">
        <v>81.5</v>
      </c>
      <c r="K129">
        <v>3.19</v>
      </c>
      <c r="L129">
        <v>0</v>
      </c>
      <c r="M129">
        <v>4.8</v>
      </c>
      <c r="N129">
        <v>697155.3</v>
      </c>
      <c r="O129">
        <v>136408.54</v>
      </c>
      <c r="P129">
        <f t="shared" si="7"/>
        <v>1</v>
      </c>
      <c r="Q129">
        <f t="shared" si="8"/>
        <v>0</v>
      </c>
      <c r="R129">
        <f t="shared" si="9"/>
        <v>0</v>
      </c>
      <c r="S129">
        <f t="shared" si="10"/>
        <v>0</v>
      </c>
      <c r="T129">
        <f t="shared" si="11"/>
        <v>1</v>
      </c>
      <c r="X129" s="8">
        <v>96</v>
      </c>
      <c r="Y129" s="8">
        <v>615091.78840116784</v>
      </c>
      <c r="Z129" s="8">
        <v>-7193.6684011678444</v>
      </c>
    </row>
    <row r="130" spans="1:26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f t="shared" si="6"/>
        <v>0</v>
      </c>
      <c r="I130">
        <v>27</v>
      </c>
      <c r="J130">
        <v>88.3</v>
      </c>
      <c r="K130">
        <v>1.1000000000000001</v>
      </c>
      <c r="L130">
        <v>1</v>
      </c>
      <c r="M130">
        <v>4.4000000000000004</v>
      </c>
      <c r="N130">
        <v>849018.3</v>
      </c>
      <c r="O130">
        <v>149035.13</v>
      </c>
      <c r="P130">
        <f t="shared" si="7"/>
        <v>0</v>
      </c>
      <c r="Q130">
        <f t="shared" si="8"/>
        <v>1</v>
      </c>
      <c r="R130">
        <f t="shared" si="9"/>
        <v>0</v>
      </c>
      <c r="S130">
        <f t="shared" si="10"/>
        <v>0</v>
      </c>
      <c r="T130">
        <f t="shared" si="11"/>
        <v>1</v>
      </c>
      <c r="X130" s="8">
        <v>97</v>
      </c>
      <c r="Y130" s="8">
        <v>676625.5758036382</v>
      </c>
      <c r="Z130" s="8">
        <v>14488.044196361792</v>
      </c>
    </row>
    <row r="131" spans="1:26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f t="shared" ref="H131:H194" si="12">IF($C131="North",1,0)</f>
        <v>0</v>
      </c>
      <c r="I131">
        <v>25</v>
      </c>
      <c r="J131">
        <v>81.2</v>
      </c>
      <c r="K131">
        <v>0.21</v>
      </c>
      <c r="L131">
        <v>0</v>
      </c>
      <c r="M131">
        <v>4</v>
      </c>
      <c r="N131">
        <v>801830.35</v>
      </c>
      <c r="O131">
        <v>114875.32</v>
      </c>
      <c r="P131">
        <f t="shared" ref="P131:P194" si="13">IF($C131="South",1,0)</f>
        <v>0</v>
      </c>
      <c r="Q131">
        <f t="shared" ref="Q131:Q194" si="14">IF($C131="East",1,0)</f>
        <v>1</v>
      </c>
      <c r="R131">
        <f t="shared" ref="R131:R194" si="15">IF($D131="Residential",1,0)</f>
        <v>0</v>
      </c>
      <c r="S131">
        <f t="shared" ref="S131:S194" si="16">IF($D131="Mall",1,0)</f>
        <v>0</v>
      </c>
      <c r="T131">
        <f t="shared" ref="T131:T194" si="17">IF($D131="High Street",1,0)</f>
        <v>1</v>
      </c>
      <c r="X131" s="8">
        <v>98</v>
      </c>
      <c r="Y131" s="8">
        <v>654179.71586391144</v>
      </c>
      <c r="Z131" s="8">
        <v>81329.684136088588</v>
      </c>
    </row>
    <row r="132" spans="1:26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f t="shared" si="12"/>
        <v>0</v>
      </c>
      <c r="I132">
        <v>19</v>
      </c>
      <c r="J132">
        <v>93.8</v>
      </c>
      <c r="K132">
        <v>5.12</v>
      </c>
      <c r="L132">
        <v>1</v>
      </c>
      <c r="M132">
        <v>4.5</v>
      </c>
      <c r="N132">
        <v>725235.28</v>
      </c>
      <c r="O132">
        <v>121632.24</v>
      </c>
      <c r="P132">
        <f t="shared" si="13"/>
        <v>0</v>
      </c>
      <c r="Q132">
        <f t="shared" si="14"/>
        <v>1</v>
      </c>
      <c r="R132">
        <f t="shared" si="15"/>
        <v>0</v>
      </c>
      <c r="S132">
        <f t="shared" si="16"/>
        <v>0</v>
      </c>
      <c r="T132">
        <f t="shared" si="17"/>
        <v>1</v>
      </c>
      <c r="X132" s="8">
        <v>99</v>
      </c>
      <c r="Y132" s="8">
        <v>602862.09920586599</v>
      </c>
      <c r="Z132" s="8">
        <v>2913.2307941339677</v>
      </c>
    </row>
    <row r="133" spans="1:26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f t="shared" si="12"/>
        <v>0</v>
      </c>
      <c r="I133">
        <v>25</v>
      </c>
      <c r="J133">
        <v>85</v>
      </c>
      <c r="K133">
        <v>9.77</v>
      </c>
      <c r="L133">
        <v>0</v>
      </c>
      <c r="M133">
        <v>4.5</v>
      </c>
      <c r="N133">
        <v>811452.72</v>
      </c>
      <c r="O133">
        <v>131325.67000000001</v>
      </c>
      <c r="P133">
        <f t="shared" si="13"/>
        <v>0</v>
      </c>
      <c r="Q133">
        <f t="shared" si="14"/>
        <v>1</v>
      </c>
      <c r="R133">
        <f t="shared" si="15"/>
        <v>0</v>
      </c>
      <c r="S133">
        <f t="shared" si="16"/>
        <v>0</v>
      </c>
      <c r="T133">
        <f t="shared" si="17"/>
        <v>1</v>
      </c>
      <c r="X133" s="8">
        <v>100</v>
      </c>
      <c r="Y133" s="8">
        <v>630203.10237774451</v>
      </c>
      <c r="Z133" s="8">
        <v>44974.577622255543</v>
      </c>
    </row>
    <row r="134" spans="1:26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f t="shared" si="12"/>
        <v>1</v>
      </c>
      <c r="I134">
        <v>9</v>
      </c>
      <c r="J134">
        <v>87.9</v>
      </c>
      <c r="K134">
        <v>3.77</v>
      </c>
      <c r="L134">
        <v>0</v>
      </c>
      <c r="M134">
        <v>4.4000000000000004</v>
      </c>
      <c r="N134">
        <v>527300.13</v>
      </c>
      <c r="O134">
        <v>84197.87</v>
      </c>
      <c r="P134">
        <f t="shared" si="13"/>
        <v>0</v>
      </c>
      <c r="Q134">
        <f t="shared" si="14"/>
        <v>0</v>
      </c>
      <c r="R134">
        <f t="shared" si="15"/>
        <v>0</v>
      </c>
      <c r="S134">
        <f t="shared" si="16"/>
        <v>0</v>
      </c>
      <c r="T134">
        <f t="shared" si="17"/>
        <v>1</v>
      </c>
      <c r="X134" s="8">
        <v>101</v>
      </c>
      <c r="Y134" s="8">
        <v>576470.50696763047</v>
      </c>
      <c r="Z134" s="8">
        <v>58710.843032369507</v>
      </c>
    </row>
    <row r="135" spans="1:26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f t="shared" si="12"/>
        <v>1</v>
      </c>
      <c r="I135">
        <v>8</v>
      </c>
      <c r="J135">
        <v>81.099999999999994</v>
      </c>
      <c r="K135">
        <v>0.78</v>
      </c>
      <c r="L135">
        <v>0</v>
      </c>
      <c r="M135" s="4" t="s">
        <v>118</v>
      </c>
      <c r="N135">
        <v>400831.65</v>
      </c>
      <c r="O135">
        <v>70979.31</v>
      </c>
      <c r="P135">
        <f t="shared" si="13"/>
        <v>0</v>
      </c>
      <c r="Q135">
        <f t="shared" si="14"/>
        <v>0</v>
      </c>
      <c r="R135">
        <f t="shared" si="15"/>
        <v>0</v>
      </c>
      <c r="S135">
        <f t="shared" si="16"/>
        <v>0</v>
      </c>
      <c r="T135">
        <f t="shared" si="17"/>
        <v>1</v>
      </c>
      <c r="X135" s="8">
        <v>102</v>
      </c>
      <c r="Y135" s="8">
        <v>610214.98775794986</v>
      </c>
      <c r="Z135" s="8">
        <v>-23588.047757949913</v>
      </c>
    </row>
    <row r="136" spans="1:26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f t="shared" si="12"/>
        <v>1</v>
      </c>
      <c r="I136">
        <v>11</v>
      </c>
      <c r="J136">
        <v>95.6</v>
      </c>
      <c r="K136">
        <v>5.17</v>
      </c>
      <c r="L136">
        <v>1</v>
      </c>
      <c r="M136">
        <v>4.4000000000000004</v>
      </c>
      <c r="N136">
        <v>593247.25</v>
      </c>
      <c r="O136">
        <v>81240.289999999994</v>
      </c>
      <c r="P136">
        <f t="shared" si="13"/>
        <v>0</v>
      </c>
      <c r="Q136">
        <f t="shared" si="14"/>
        <v>0</v>
      </c>
      <c r="R136">
        <f t="shared" si="15"/>
        <v>0</v>
      </c>
      <c r="S136">
        <f t="shared" si="16"/>
        <v>0</v>
      </c>
      <c r="T136">
        <f t="shared" si="17"/>
        <v>1</v>
      </c>
      <c r="X136" s="8">
        <v>103</v>
      </c>
      <c r="Y136" s="8">
        <v>721986.64215541992</v>
      </c>
      <c r="Z136" s="8">
        <v>18115.997844580095</v>
      </c>
    </row>
    <row r="137" spans="1:26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f t="shared" si="12"/>
        <v>1</v>
      </c>
      <c r="I137">
        <v>8</v>
      </c>
      <c r="J137">
        <v>89.8</v>
      </c>
      <c r="K137">
        <v>3.2</v>
      </c>
      <c r="L137">
        <v>0</v>
      </c>
      <c r="M137">
        <v>4.5999999999999996</v>
      </c>
      <c r="N137">
        <v>529075.94999999995</v>
      </c>
      <c r="O137">
        <v>95978.83</v>
      </c>
      <c r="P137">
        <f t="shared" si="13"/>
        <v>0</v>
      </c>
      <c r="Q137">
        <f t="shared" si="14"/>
        <v>0</v>
      </c>
      <c r="R137">
        <f t="shared" si="15"/>
        <v>0</v>
      </c>
      <c r="S137">
        <f t="shared" si="16"/>
        <v>0</v>
      </c>
      <c r="T137">
        <f t="shared" si="17"/>
        <v>1</v>
      </c>
      <c r="X137" s="8">
        <v>104</v>
      </c>
      <c r="Y137" s="8">
        <v>518079.68913128268</v>
      </c>
      <c r="Z137" s="8">
        <v>107434.35086871736</v>
      </c>
    </row>
    <row r="138" spans="1:26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f t="shared" si="12"/>
        <v>0</v>
      </c>
      <c r="I138">
        <v>20</v>
      </c>
      <c r="J138">
        <v>78.099999999999994</v>
      </c>
      <c r="K138">
        <v>3.4</v>
      </c>
      <c r="L138">
        <v>0</v>
      </c>
      <c r="M138" s="4" t="s">
        <v>118</v>
      </c>
      <c r="N138">
        <v>633638.03</v>
      </c>
      <c r="O138">
        <v>99402.01</v>
      </c>
      <c r="P138">
        <f t="shared" si="13"/>
        <v>1</v>
      </c>
      <c r="Q138">
        <f t="shared" si="14"/>
        <v>0</v>
      </c>
      <c r="R138">
        <f t="shared" si="15"/>
        <v>1</v>
      </c>
      <c r="S138">
        <f t="shared" si="16"/>
        <v>0</v>
      </c>
      <c r="T138">
        <f t="shared" si="17"/>
        <v>0</v>
      </c>
      <c r="X138" s="8">
        <v>105</v>
      </c>
      <c r="Y138" s="8">
        <v>711199.1452325111</v>
      </c>
      <c r="Z138" s="8">
        <v>16028.054767488851</v>
      </c>
    </row>
    <row r="139" spans="1:26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f t="shared" si="12"/>
        <v>0</v>
      </c>
      <c r="I139">
        <v>15</v>
      </c>
      <c r="J139">
        <v>96.3</v>
      </c>
      <c r="K139">
        <v>7.38</v>
      </c>
      <c r="L139">
        <v>0</v>
      </c>
      <c r="M139">
        <v>3.7</v>
      </c>
      <c r="N139">
        <v>743348.84</v>
      </c>
      <c r="O139">
        <v>104186.09</v>
      </c>
      <c r="P139">
        <f t="shared" si="13"/>
        <v>1</v>
      </c>
      <c r="Q139">
        <f t="shared" si="14"/>
        <v>0</v>
      </c>
      <c r="R139">
        <f t="shared" si="15"/>
        <v>1</v>
      </c>
      <c r="S139">
        <f t="shared" si="16"/>
        <v>0</v>
      </c>
      <c r="T139">
        <f t="shared" si="17"/>
        <v>0</v>
      </c>
      <c r="X139" s="8">
        <v>106</v>
      </c>
      <c r="Y139" s="8">
        <v>780036.47198897274</v>
      </c>
      <c r="Z139" s="8">
        <v>3761.4180110272719</v>
      </c>
    </row>
    <row r="140" spans="1:26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f t="shared" si="12"/>
        <v>0</v>
      </c>
      <c r="I140">
        <v>18</v>
      </c>
      <c r="J140">
        <v>90.2</v>
      </c>
      <c r="K140">
        <v>0.85</v>
      </c>
      <c r="L140">
        <v>1</v>
      </c>
      <c r="M140">
        <v>3.3</v>
      </c>
      <c r="N140">
        <v>758827.64</v>
      </c>
      <c r="O140">
        <v>161439.48000000001</v>
      </c>
      <c r="P140">
        <f t="shared" si="13"/>
        <v>1</v>
      </c>
      <c r="Q140">
        <f t="shared" si="14"/>
        <v>0</v>
      </c>
      <c r="R140">
        <f t="shared" si="15"/>
        <v>1</v>
      </c>
      <c r="S140">
        <f t="shared" si="16"/>
        <v>0</v>
      </c>
      <c r="T140">
        <f t="shared" si="17"/>
        <v>0</v>
      </c>
      <c r="X140" s="8">
        <v>107</v>
      </c>
      <c r="Y140" s="8">
        <v>702908.55619742454</v>
      </c>
      <c r="Z140" s="8">
        <v>92245.283802575432</v>
      </c>
    </row>
    <row r="141" spans="1:26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f t="shared" si="12"/>
        <v>0</v>
      </c>
      <c r="I141">
        <v>12</v>
      </c>
      <c r="J141">
        <v>90</v>
      </c>
      <c r="K141">
        <v>2.89</v>
      </c>
      <c r="L141">
        <v>0</v>
      </c>
      <c r="M141">
        <v>3.6</v>
      </c>
      <c r="N141">
        <v>646559.71</v>
      </c>
      <c r="O141">
        <v>97981.75</v>
      </c>
      <c r="P141">
        <f t="shared" si="13"/>
        <v>1</v>
      </c>
      <c r="Q141">
        <f t="shared" si="14"/>
        <v>0</v>
      </c>
      <c r="R141">
        <f t="shared" si="15"/>
        <v>1</v>
      </c>
      <c r="S141">
        <f t="shared" si="16"/>
        <v>0</v>
      </c>
      <c r="T141">
        <f t="shared" si="17"/>
        <v>0</v>
      </c>
      <c r="X141" s="8">
        <v>108</v>
      </c>
      <c r="Y141" s="8">
        <v>676583.56635217962</v>
      </c>
      <c r="Z141" s="8">
        <v>-10988.626352179679</v>
      </c>
    </row>
    <row r="142" spans="1:26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f t="shared" si="12"/>
        <v>0</v>
      </c>
      <c r="I142">
        <v>14</v>
      </c>
      <c r="J142">
        <v>88.8</v>
      </c>
      <c r="K142">
        <v>0.77</v>
      </c>
      <c r="L142">
        <v>0</v>
      </c>
      <c r="M142">
        <v>4.0999999999999996</v>
      </c>
      <c r="N142">
        <v>715890.53</v>
      </c>
      <c r="O142">
        <v>109032.15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0</v>
      </c>
      <c r="T142">
        <f t="shared" si="17"/>
        <v>1</v>
      </c>
      <c r="X142" s="8">
        <v>109</v>
      </c>
      <c r="Y142" s="8">
        <v>712568.02598169644</v>
      </c>
      <c r="Z142" s="8">
        <v>-3089.635981696425</v>
      </c>
    </row>
    <row r="143" spans="1:26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f t="shared" si="12"/>
        <v>0</v>
      </c>
      <c r="I143">
        <v>15</v>
      </c>
      <c r="J143">
        <v>94.2</v>
      </c>
      <c r="K143">
        <v>2.92</v>
      </c>
      <c r="L143">
        <v>0</v>
      </c>
      <c r="M143">
        <v>4.2</v>
      </c>
      <c r="N143">
        <v>715097.57</v>
      </c>
      <c r="O143">
        <v>151875.85999999999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0</v>
      </c>
      <c r="T143">
        <f t="shared" si="17"/>
        <v>1</v>
      </c>
      <c r="X143" s="8">
        <v>110</v>
      </c>
      <c r="Y143" s="8">
        <v>644261.42871135951</v>
      </c>
      <c r="Z143" s="8">
        <v>19901.061288640485</v>
      </c>
    </row>
    <row r="144" spans="1:26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f t="shared" si="12"/>
        <v>0</v>
      </c>
      <c r="I144">
        <v>18</v>
      </c>
      <c r="J144">
        <v>88.5</v>
      </c>
      <c r="K144">
        <v>3.07</v>
      </c>
      <c r="L144">
        <v>0</v>
      </c>
      <c r="M144">
        <v>3.8</v>
      </c>
      <c r="N144">
        <v>682639.28</v>
      </c>
      <c r="O144">
        <v>77557.53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0</v>
      </c>
      <c r="T144">
        <f t="shared" si="17"/>
        <v>1</v>
      </c>
      <c r="X144" s="8">
        <v>111</v>
      </c>
      <c r="Y144" s="8">
        <v>648131.55015012482</v>
      </c>
      <c r="Z144" s="8">
        <v>-14637.340150124859</v>
      </c>
    </row>
    <row r="145" spans="1:26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f t="shared" si="12"/>
        <v>0</v>
      </c>
      <c r="I145">
        <v>19</v>
      </c>
      <c r="J145">
        <v>94</v>
      </c>
      <c r="K145">
        <v>9.6999999999999993</v>
      </c>
      <c r="L145">
        <v>0</v>
      </c>
      <c r="M145">
        <v>3.9</v>
      </c>
      <c r="N145">
        <v>695098.51</v>
      </c>
      <c r="O145">
        <v>108192.75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0</v>
      </c>
      <c r="T145">
        <f t="shared" si="17"/>
        <v>1</v>
      </c>
      <c r="X145" s="8">
        <v>112</v>
      </c>
      <c r="Y145" s="8">
        <v>598503.21613818372</v>
      </c>
      <c r="Z145" s="8">
        <v>115107.94386181631</v>
      </c>
    </row>
    <row r="146" spans="1:26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f t="shared" si="12"/>
        <v>1</v>
      </c>
      <c r="I146">
        <v>12</v>
      </c>
      <c r="J146">
        <v>90.2</v>
      </c>
      <c r="K146">
        <v>3.71</v>
      </c>
      <c r="L146">
        <v>0</v>
      </c>
      <c r="M146">
        <v>3.2</v>
      </c>
      <c r="N146">
        <v>577732.56999999995</v>
      </c>
      <c r="O146">
        <v>93804.27</v>
      </c>
      <c r="P146">
        <f t="shared" si="13"/>
        <v>0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  <c r="X146" s="8">
        <v>113</v>
      </c>
      <c r="Y146" s="8">
        <v>762273.60625253082</v>
      </c>
      <c r="Z146" s="8">
        <v>16124.36374746915</v>
      </c>
    </row>
    <row r="147" spans="1:26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f t="shared" si="12"/>
        <v>1</v>
      </c>
      <c r="I147">
        <v>13</v>
      </c>
      <c r="J147">
        <v>93.7</v>
      </c>
      <c r="K147">
        <v>10.79</v>
      </c>
      <c r="L147">
        <v>0</v>
      </c>
      <c r="M147">
        <v>3.5</v>
      </c>
      <c r="N147">
        <v>537058.32999999996</v>
      </c>
      <c r="O147">
        <v>93555.71</v>
      </c>
      <c r="P147">
        <f t="shared" si="13"/>
        <v>0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  <c r="X147" s="8">
        <v>114</v>
      </c>
      <c r="Y147" s="8">
        <v>803706.20448907069</v>
      </c>
      <c r="Z147" s="8">
        <v>69673.815510929329</v>
      </c>
    </row>
    <row r="148" spans="1:26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f t="shared" si="12"/>
        <v>1</v>
      </c>
      <c r="I148">
        <v>15</v>
      </c>
      <c r="J148">
        <v>93.7</v>
      </c>
      <c r="K148">
        <v>6.03</v>
      </c>
      <c r="L148">
        <v>0</v>
      </c>
      <c r="M148">
        <v>3.4</v>
      </c>
      <c r="N148">
        <v>601568.87</v>
      </c>
      <c r="O148">
        <v>91634.82</v>
      </c>
      <c r="P148">
        <f t="shared" si="13"/>
        <v>0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  <c r="X148" s="8">
        <v>115</v>
      </c>
      <c r="Y148" s="8">
        <v>740837.02182401868</v>
      </c>
      <c r="Z148" s="8">
        <v>-43549.121824018657</v>
      </c>
    </row>
    <row r="149" spans="1:26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f t="shared" si="12"/>
        <v>1</v>
      </c>
      <c r="I149">
        <v>12</v>
      </c>
      <c r="J149">
        <v>89.4</v>
      </c>
      <c r="K149">
        <v>4.92</v>
      </c>
      <c r="L149">
        <v>0</v>
      </c>
      <c r="M149">
        <v>3.4</v>
      </c>
      <c r="N149">
        <v>570964.84</v>
      </c>
      <c r="O149">
        <v>81331.070000000007</v>
      </c>
      <c r="P149">
        <f t="shared" si="13"/>
        <v>0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  <c r="X149" s="8">
        <v>116</v>
      </c>
      <c r="Y149" s="8">
        <v>734839.39280493045</v>
      </c>
      <c r="Z149" s="8">
        <v>-16764.602804930415</v>
      </c>
    </row>
    <row r="150" spans="1:26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f t="shared" si="12"/>
        <v>0</v>
      </c>
      <c r="I150">
        <v>17</v>
      </c>
      <c r="J150">
        <v>88.1</v>
      </c>
      <c r="K150">
        <v>19.78</v>
      </c>
      <c r="L150">
        <v>0</v>
      </c>
      <c r="M150">
        <v>3.8</v>
      </c>
      <c r="N150">
        <v>614024.91</v>
      </c>
      <c r="O150">
        <v>84828.93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1</v>
      </c>
      <c r="T150">
        <f t="shared" si="17"/>
        <v>0</v>
      </c>
      <c r="X150" s="8">
        <v>117</v>
      </c>
      <c r="Y150" s="8">
        <v>702378.86154929257</v>
      </c>
      <c r="Z150" s="8">
        <v>12563.568450707477</v>
      </c>
    </row>
    <row r="151" spans="1:26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f t="shared" si="12"/>
        <v>0</v>
      </c>
      <c r="I151">
        <v>13</v>
      </c>
      <c r="J151">
        <v>99</v>
      </c>
      <c r="K151">
        <v>5.45</v>
      </c>
      <c r="L151">
        <v>0</v>
      </c>
      <c r="M151">
        <v>4.0999999999999996</v>
      </c>
      <c r="N151">
        <v>712868.35</v>
      </c>
      <c r="O151">
        <v>133650.51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1</v>
      </c>
      <c r="T151">
        <f t="shared" si="17"/>
        <v>0</v>
      </c>
      <c r="X151" s="8">
        <v>118</v>
      </c>
      <c r="Y151" s="8">
        <v>741819.07211394899</v>
      </c>
      <c r="Z151" s="8">
        <v>78699.967886051047</v>
      </c>
    </row>
    <row r="152" spans="1:26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f t="shared" si="12"/>
        <v>0</v>
      </c>
      <c r="I152">
        <v>12</v>
      </c>
      <c r="J152">
        <v>95</v>
      </c>
      <c r="K152">
        <v>2.33</v>
      </c>
      <c r="L152">
        <v>1</v>
      </c>
      <c r="M152">
        <v>3.7</v>
      </c>
      <c r="N152">
        <v>696744.15</v>
      </c>
      <c r="O152">
        <v>152230.09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1</v>
      </c>
      <c r="T152">
        <f t="shared" si="17"/>
        <v>0</v>
      </c>
      <c r="X152" s="8">
        <v>119</v>
      </c>
      <c r="Y152" s="8">
        <v>729189.2813617799</v>
      </c>
      <c r="Z152" s="8">
        <v>-44971.961361779948</v>
      </c>
    </row>
    <row r="153" spans="1:26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f t="shared" si="12"/>
        <v>0</v>
      </c>
      <c r="I153">
        <v>15</v>
      </c>
      <c r="J153">
        <v>94.3</v>
      </c>
      <c r="K153">
        <v>3.55</v>
      </c>
      <c r="L153">
        <v>0</v>
      </c>
      <c r="M153">
        <v>4.0999999999999996</v>
      </c>
      <c r="N153">
        <v>725847.99</v>
      </c>
      <c r="O153">
        <v>122698.73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1</v>
      </c>
      <c r="T153">
        <f t="shared" si="17"/>
        <v>0</v>
      </c>
      <c r="X153" s="8">
        <v>120</v>
      </c>
      <c r="Y153" s="8">
        <v>711188.95556235407</v>
      </c>
      <c r="Z153" s="8">
        <v>24291.234437645879</v>
      </c>
    </row>
    <row r="154" spans="1:26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f t="shared" si="12"/>
        <v>0</v>
      </c>
      <c r="I154">
        <v>21</v>
      </c>
      <c r="J154">
        <v>87.4</v>
      </c>
      <c r="K154">
        <v>0.2</v>
      </c>
      <c r="L154">
        <v>0</v>
      </c>
      <c r="M154">
        <v>4.5</v>
      </c>
      <c r="N154">
        <v>785028.25</v>
      </c>
      <c r="O154">
        <v>110726.44</v>
      </c>
      <c r="P154">
        <f t="shared" si="13"/>
        <v>0</v>
      </c>
      <c r="Q154">
        <f t="shared" si="14"/>
        <v>1</v>
      </c>
      <c r="R154">
        <f t="shared" si="15"/>
        <v>0</v>
      </c>
      <c r="S154">
        <f t="shared" si="16"/>
        <v>0</v>
      </c>
      <c r="T154">
        <f t="shared" si="17"/>
        <v>1</v>
      </c>
      <c r="X154" s="8">
        <v>121</v>
      </c>
      <c r="Y154" s="8">
        <v>580092.25968351332</v>
      </c>
      <c r="Z154" s="8">
        <v>-70607.449683513318</v>
      </c>
    </row>
    <row r="155" spans="1:26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f t="shared" si="12"/>
        <v>0</v>
      </c>
      <c r="I155">
        <v>18</v>
      </c>
      <c r="J155">
        <v>87</v>
      </c>
      <c r="K155">
        <v>2.09</v>
      </c>
      <c r="L155">
        <v>0</v>
      </c>
      <c r="M155">
        <v>4.2</v>
      </c>
      <c r="N155">
        <v>698492.67</v>
      </c>
      <c r="O155">
        <v>117319.32</v>
      </c>
      <c r="P155">
        <f t="shared" si="13"/>
        <v>0</v>
      </c>
      <c r="Q155">
        <f t="shared" si="14"/>
        <v>1</v>
      </c>
      <c r="R155">
        <f t="shared" si="15"/>
        <v>0</v>
      </c>
      <c r="S155">
        <f t="shared" si="16"/>
        <v>0</v>
      </c>
      <c r="T155">
        <f t="shared" si="17"/>
        <v>1</v>
      </c>
      <c r="X155" s="8">
        <v>122</v>
      </c>
      <c r="Y155" s="8">
        <v>626743.40275213425</v>
      </c>
      <c r="Z155" s="8">
        <v>27573.687247865717</v>
      </c>
    </row>
    <row r="156" spans="1:26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f t="shared" si="12"/>
        <v>0</v>
      </c>
      <c r="I156">
        <v>16</v>
      </c>
      <c r="J156">
        <v>90.5</v>
      </c>
      <c r="K156">
        <v>2.2599999999999998</v>
      </c>
      <c r="L156">
        <v>0</v>
      </c>
      <c r="M156">
        <v>4.2</v>
      </c>
      <c r="N156">
        <v>685830.24</v>
      </c>
      <c r="O156">
        <v>128736.18</v>
      </c>
      <c r="P156">
        <f t="shared" si="13"/>
        <v>0</v>
      </c>
      <c r="Q156">
        <f t="shared" si="14"/>
        <v>1</v>
      </c>
      <c r="R156">
        <f t="shared" si="15"/>
        <v>0</v>
      </c>
      <c r="S156">
        <f t="shared" si="16"/>
        <v>0</v>
      </c>
      <c r="T156">
        <f t="shared" si="17"/>
        <v>1</v>
      </c>
      <c r="X156" s="8">
        <v>123</v>
      </c>
      <c r="Y156" s="8">
        <v>605964.49657718465</v>
      </c>
      <c r="Z156" s="8">
        <v>-48477.236577184638</v>
      </c>
    </row>
    <row r="157" spans="1:26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f t="shared" si="12"/>
        <v>0</v>
      </c>
      <c r="I157">
        <v>19</v>
      </c>
      <c r="J157">
        <v>90.1</v>
      </c>
      <c r="K157">
        <v>0.44</v>
      </c>
      <c r="L157">
        <v>0</v>
      </c>
      <c r="M157">
        <v>4.4000000000000004</v>
      </c>
      <c r="N157">
        <v>702318.94</v>
      </c>
      <c r="O157">
        <v>112829.29</v>
      </c>
      <c r="P157">
        <f t="shared" si="13"/>
        <v>0</v>
      </c>
      <c r="Q157">
        <f t="shared" si="14"/>
        <v>1</v>
      </c>
      <c r="R157">
        <f t="shared" si="15"/>
        <v>0</v>
      </c>
      <c r="S157">
        <f t="shared" si="16"/>
        <v>0</v>
      </c>
      <c r="T157">
        <f t="shared" si="17"/>
        <v>1</v>
      </c>
      <c r="X157" s="8">
        <v>124</v>
      </c>
      <c r="Y157" s="8">
        <v>475426.22652680677</v>
      </c>
      <c r="Z157" s="8">
        <v>-34150.806526806788</v>
      </c>
    </row>
    <row r="158" spans="1:26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f t="shared" si="12"/>
        <v>1</v>
      </c>
      <c r="I158">
        <v>19</v>
      </c>
      <c r="J158">
        <v>85.2</v>
      </c>
      <c r="K158">
        <v>3.08</v>
      </c>
      <c r="L158">
        <v>0</v>
      </c>
      <c r="M158">
        <v>3.9</v>
      </c>
      <c r="N158">
        <v>700078.32</v>
      </c>
      <c r="O158">
        <v>123707.58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1</v>
      </c>
      <c r="T158">
        <f t="shared" si="17"/>
        <v>0</v>
      </c>
      <c r="X158" s="8">
        <v>125</v>
      </c>
      <c r="Y158" s="8">
        <v>814791.05313869461</v>
      </c>
      <c r="Z158" s="8">
        <v>99753.116861305432</v>
      </c>
    </row>
    <row r="159" spans="1:26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f t="shared" si="12"/>
        <v>1</v>
      </c>
      <c r="I159">
        <v>11</v>
      </c>
      <c r="J159">
        <v>91.6</v>
      </c>
      <c r="K159">
        <v>7.99</v>
      </c>
      <c r="L159">
        <v>0</v>
      </c>
      <c r="M159">
        <v>3</v>
      </c>
      <c r="N159">
        <v>602002.31999999995</v>
      </c>
      <c r="O159">
        <v>110453.28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1</v>
      </c>
      <c r="T159">
        <f t="shared" si="17"/>
        <v>0</v>
      </c>
      <c r="X159" s="8">
        <v>126</v>
      </c>
      <c r="Y159" s="8">
        <v>813924.71182143141</v>
      </c>
      <c r="Z159" s="8">
        <v>28514.958178568631</v>
      </c>
    </row>
    <row r="160" spans="1:26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f t="shared" si="12"/>
        <v>1</v>
      </c>
      <c r="I160">
        <v>18</v>
      </c>
      <c r="J160">
        <v>74.2</v>
      </c>
      <c r="K160">
        <v>0.2</v>
      </c>
      <c r="L160">
        <v>0</v>
      </c>
      <c r="M160">
        <v>3.4</v>
      </c>
      <c r="N160">
        <v>724216.07</v>
      </c>
      <c r="O160">
        <v>100627.56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1</v>
      </c>
      <c r="T160">
        <f t="shared" si="17"/>
        <v>0</v>
      </c>
      <c r="X160" s="8">
        <v>127</v>
      </c>
      <c r="Y160" s="8">
        <v>774355.61271347688</v>
      </c>
      <c r="Z160" s="8">
        <v>67802.307286523166</v>
      </c>
    </row>
    <row r="161" spans="1:26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f t="shared" si="12"/>
        <v>1</v>
      </c>
      <c r="I161">
        <v>12</v>
      </c>
      <c r="J161">
        <v>93</v>
      </c>
      <c r="K161">
        <v>5.46</v>
      </c>
      <c r="L161">
        <v>0</v>
      </c>
      <c r="M161">
        <v>3.3</v>
      </c>
      <c r="N161">
        <v>620973.03</v>
      </c>
      <c r="O161">
        <v>72303.850000000006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1</v>
      </c>
      <c r="T161">
        <f t="shared" si="17"/>
        <v>0</v>
      </c>
      <c r="X161" s="8">
        <v>128</v>
      </c>
      <c r="Y161" s="8">
        <v>717562.34884886583</v>
      </c>
      <c r="Z161" s="8">
        <v>-20407.048848865787</v>
      </c>
    </row>
    <row r="162" spans="1:26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f t="shared" si="12"/>
        <v>0</v>
      </c>
      <c r="I162">
        <v>16</v>
      </c>
      <c r="J162">
        <v>90.1</v>
      </c>
      <c r="K162">
        <v>4.05</v>
      </c>
      <c r="L162">
        <v>0</v>
      </c>
      <c r="M162">
        <v>4</v>
      </c>
      <c r="N162">
        <v>650480.06000000006</v>
      </c>
      <c r="O162">
        <v>109012.07</v>
      </c>
      <c r="P162">
        <f t="shared" si="13"/>
        <v>1</v>
      </c>
      <c r="Q162">
        <f t="shared" si="14"/>
        <v>0</v>
      </c>
      <c r="R162">
        <f t="shared" si="15"/>
        <v>0</v>
      </c>
      <c r="S162">
        <f t="shared" si="16"/>
        <v>0</v>
      </c>
      <c r="T162">
        <f t="shared" si="17"/>
        <v>1</v>
      </c>
      <c r="X162" s="8">
        <v>129</v>
      </c>
      <c r="Y162" s="8">
        <v>825847.71873844648</v>
      </c>
      <c r="Z162" s="8">
        <v>23170.581261553569</v>
      </c>
    </row>
    <row r="163" spans="1:26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f t="shared" si="12"/>
        <v>0</v>
      </c>
      <c r="I163">
        <v>20</v>
      </c>
      <c r="J163">
        <v>91</v>
      </c>
      <c r="K163">
        <v>4.3600000000000003</v>
      </c>
      <c r="L163">
        <v>0</v>
      </c>
      <c r="M163">
        <v>4.2</v>
      </c>
      <c r="N163">
        <v>778298.88</v>
      </c>
      <c r="O163">
        <v>130076.72</v>
      </c>
      <c r="P163">
        <f t="shared" si="13"/>
        <v>1</v>
      </c>
      <c r="Q163">
        <f t="shared" si="14"/>
        <v>0</v>
      </c>
      <c r="R163">
        <f t="shared" si="15"/>
        <v>0</v>
      </c>
      <c r="S163">
        <f t="shared" si="16"/>
        <v>0</v>
      </c>
      <c r="T163">
        <f t="shared" si="17"/>
        <v>1</v>
      </c>
      <c r="X163" s="8">
        <v>130</v>
      </c>
      <c r="Y163" s="8">
        <v>821751.86584348278</v>
      </c>
      <c r="Z163" s="8">
        <v>-19921.515843482804</v>
      </c>
    </row>
    <row r="164" spans="1:26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f t="shared" si="12"/>
        <v>0</v>
      </c>
      <c r="I164">
        <v>17</v>
      </c>
      <c r="J164">
        <v>72.599999999999994</v>
      </c>
      <c r="L164">
        <v>0</v>
      </c>
      <c r="M164">
        <v>4.2</v>
      </c>
      <c r="N164">
        <v>677096.71</v>
      </c>
      <c r="O164">
        <v>97174.11</v>
      </c>
      <c r="P164">
        <f t="shared" si="13"/>
        <v>1</v>
      </c>
      <c r="Q164">
        <f t="shared" si="14"/>
        <v>0</v>
      </c>
      <c r="R164">
        <f t="shared" si="15"/>
        <v>0</v>
      </c>
      <c r="S164">
        <f t="shared" si="16"/>
        <v>0</v>
      </c>
      <c r="T164">
        <f t="shared" si="17"/>
        <v>1</v>
      </c>
      <c r="X164" s="8">
        <v>131</v>
      </c>
      <c r="Y164" s="8">
        <v>774693.32048987318</v>
      </c>
      <c r="Z164" s="8">
        <v>-49458.04048987315</v>
      </c>
    </row>
    <row r="165" spans="1:26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f t="shared" si="12"/>
        <v>0</v>
      </c>
      <c r="I165">
        <v>19</v>
      </c>
      <c r="J165">
        <v>93.8</v>
      </c>
      <c r="K165">
        <v>0.54</v>
      </c>
      <c r="L165">
        <v>0</v>
      </c>
      <c r="M165">
        <v>4.3</v>
      </c>
      <c r="N165">
        <v>692008.64</v>
      </c>
      <c r="O165">
        <v>116337.87</v>
      </c>
      <c r="P165">
        <f t="shared" si="13"/>
        <v>1</v>
      </c>
      <c r="Q165">
        <f t="shared" si="14"/>
        <v>0</v>
      </c>
      <c r="R165">
        <f t="shared" si="15"/>
        <v>0</v>
      </c>
      <c r="S165">
        <f t="shared" si="16"/>
        <v>0</v>
      </c>
      <c r="T165">
        <f t="shared" si="17"/>
        <v>1</v>
      </c>
      <c r="X165" s="8">
        <v>132</v>
      </c>
      <c r="Y165" s="8">
        <v>838110.48666574759</v>
      </c>
      <c r="Z165" s="8">
        <v>-26657.766665747622</v>
      </c>
    </row>
    <row r="166" spans="1:26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f t="shared" si="12"/>
        <v>1</v>
      </c>
      <c r="I166">
        <v>22</v>
      </c>
      <c r="J166">
        <v>82.9</v>
      </c>
      <c r="K166">
        <v>11.37</v>
      </c>
      <c r="L166">
        <v>1</v>
      </c>
      <c r="M166">
        <v>4.3</v>
      </c>
      <c r="N166">
        <v>825797.91</v>
      </c>
      <c r="O166">
        <v>130945.24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1</v>
      </c>
      <c r="T166">
        <f t="shared" si="17"/>
        <v>0</v>
      </c>
      <c r="X166" s="8">
        <v>133</v>
      </c>
      <c r="Y166" s="8">
        <v>583486.43841171206</v>
      </c>
      <c r="Z166" s="8">
        <v>-56186.30841171206</v>
      </c>
    </row>
    <row r="167" spans="1:26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f t="shared" si="12"/>
        <v>1</v>
      </c>
      <c r="I167">
        <v>22</v>
      </c>
      <c r="J167">
        <v>86.1</v>
      </c>
      <c r="K167">
        <v>9.43</v>
      </c>
      <c r="L167">
        <v>0</v>
      </c>
      <c r="M167">
        <v>4.2</v>
      </c>
      <c r="N167">
        <v>706285.52</v>
      </c>
      <c r="O167">
        <v>138014.72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1</v>
      </c>
      <c r="T167">
        <f t="shared" si="17"/>
        <v>0</v>
      </c>
      <c r="X167" s="8">
        <v>134</v>
      </c>
      <c r="Y167" s="8">
        <v>477516.83754798403</v>
      </c>
      <c r="Z167" s="8">
        <v>-76685.187547984009</v>
      </c>
    </row>
    <row r="168" spans="1:26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f t="shared" si="12"/>
        <v>1</v>
      </c>
      <c r="I168">
        <v>16</v>
      </c>
      <c r="J168">
        <v>90.3</v>
      </c>
      <c r="K168">
        <v>3.49</v>
      </c>
      <c r="L168">
        <v>0</v>
      </c>
      <c r="M168">
        <v>4</v>
      </c>
      <c r="N168">
        <v>665534.69999999995</v>
      </c>
      <c r="O168">
        <v>113167.73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1</v>
      </c>
      <c r="T168">
        <f t="shared" si="17"/>
        <v>0</v>
      </c>
      <c r="X168" s="8">
        <v>135</v>
      </c>
      <c r="Y168" s="8">
        <v>581852.09075220372</v>
      </c>
      <c r="Z168" s="8">
        <v>11395.159247796284</v>
      </c>
    </row>
    <row r="169" spans="1:26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f t="shared" si="12"/>
        <v>1</v>
      </c>
      <c r="I169">
        <v>23</v>
      </c>
      <c r="J169">
        <v>89.2</v>
      </c>
      <c r="K169">
        <v>7.86</v>
      </c>
      <c r="L169">
        <v>0</v>
      </c>
      <c r="M169">
        <v>4.0999999999999996</v>
      </c>
      <c r="N169">
        <v>820729.29</v>
      </c>
      <c r="O169">
        <v>159325.47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1</v>
      </c>
      <c r="T169">
        <f t="shared" si="17"/>
        <v>0</v>
      </c>
      <c r="X169" s="8">
        <v>136</v>
      </c>
      <c r="Y169" s="8">
        <v>538207.6618849861</v>
      </c>
      <c r="Z169" s="8">
        <v>-9131.7118849861436</v>
      </c>
    </row>
    <row r="170" spans="1:26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f t="shared" si="12"/>
        <v>0</v>
      </c>
      <c r="I170">
        <v>25</v>
      </c>
      <c r="J170">
        <v>87.1</v>
      </c>
      <c r="K170">
        <v>12.55</v>
      </c>
      <c r="L170">
        <v>0</v>
      </c>
      <c r="M170">
        <v>4.9000000000000004</v>
      </c>
      <c r="N170">
        <v>739831.73</v>
      </c>
      <c r="O170">
        <v>119490.21</v>
      </c>
      <c r="P170">
        <f t="shared" si="13"/>
        <v>0</v>
      </c>
      <c r="Q170">
        <f t="shared" si="14"/>
        <v>1</v>
      </c>
      <c r="R170">
        <f t="shared" si="15"/>
        <v>1</v>
      </c>
      <c r="S170">
        <f t="shared" si="16"/>
        <v>0</v>
      </c>
      <c r="T170">
        <f t="shared" si="17"/>
        <v>0</v>
      </c>
      <c r="X170" s="8">
        <v>137</v>
      </c>
      <c r="Y170" s="8">
        <v>748439.23174097273</v>
      </c>
      <c r="Z170" s="8">
        <v>-114801.2017409727</v>
      </c>
    </row>
    <row r="171" spans="1:26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f t="shared" si="12"/>
        <v>0</v>
      </c>
      <c r="I171">
        <v>15</v>
      </c>
      <c r="J171">
        <v>84.1</v>
      </c>
      <c r="K171">
        <v>3.48</v>
      </c>
      <c r="L171">
        <v>0</v>
      </c>
      <c r="M171">
        <v>5</v>
      </c>
      <c r="N171">
        <v>593637.14</v>
      </c>
      <c r="O171">
        <v>106648.14</v>
      </c>
      <c r="P171">
        <f t="shared" si="13"/>
        <v>0</v>
      </c>
      <c r="Q171">
        <f t="shared" si="14"/>
        <v>1</v>
      </c>
      <c r="R171">
        <f t="shared" si="15"/>
        <v>1</v>
      </c>
      <c r="S171">
        <f t="shared" si="16"/>
        <v>0</v>
      </c>
      <c r="T171">
        <f t="shared" si="17"/>
        <v>0</v>
      </c>
      <c r="X171" s="8">
        <v>138</v>
      </c>
      <c r="Y171" s="8">
        <v>694844.26038866281</v>
      </c>
      <c r="Z171" s="8">
        <v>48504.579611337162</v>
      </c>
    </row>
    <row r="172" spans="1:26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f t="shared" si="12"/>
        <v>0</v>
      </c>
      <c r="I172">
        <v>21</v>
      </c>
      <c r="J172">
        <v>84.7</v>
      </c>
      <c r="K172">
        <v>7.73</v>
      </c>
      <c r="L172">
        <v>0</v>
      </c>
      <c r="M172">
        <v>4.9000000000000004</v>
      </c>
      <c r="N172">
        <v>769702.76</v>
      </c>
      <c r="O172">
        <v>158697</v>
      </c>
      <c r="P172">
        <f t="shared" si="13"/>
        <v>0</v>
      </c>
      <c r="Q172">
        <f t="shared" si="14"/>
        <v>1</v>
      </c>
      <c r="R172">
        <f t="shared" si="15"/>
        <v>1</v>
      </c>
      <c r="S172">
        <f t="shared" si="16"/>
        <v>0</v>
      </c>
      <c r="T172">
        <f t="shared" si="17"/>
        <v>0</v>
      </c>
      <c r="X172" s="8">
        <v>139</v>
      </c>
      <c r="Y172" s="8">
        <v>692382.49147846899</v>
      </c>
      <c r="Z172" s="8">
        <v>66445.148521531024</v>
      </c>
    </row>
    <row r="173" spans="1:26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f t="shared" si="12"/>
        <v>0</v>
      </c>
      <c r="I173">
        <v>18</v>
      </c>
      <c r="J173">
        <v>89.8</v>
      </c>
      <c r="K173">
        <v>0.25</v>
      </c>
      <c r="L173">
        <v>0</v>
      </c>
      <c r="M173">
        <v>4.4000000000000004</v>
      </c>
      <c r="N173">
        <v>679731.57</v>
      </c>
      <c r="O173">
        <v>121546.42</v>
      </c>
      <c r="P173">
        <f t="shared" si="13"/>
        <v>0</v>
      </c>
      <c r="Q173">
        <f t="shared" si="14"/>
        <v>1</v>
      </c>
      <c r="R173">
        <f t="shared" si="15"/>
        <v>1</v>
      </c>
      <c r="S173">
        <f t="shared" si="16"/>
        <v>0</v>
      </c>
      <c r="T173">
        <f t="shared" si="17"/>
        <v>0</v>
      </c>
      <c r="X173" s="8">
        <v>140</v>
      </c>
      <c r="Y173" s="8">
        <v>624272.07236387709</v>
      </c>
      <c r="Z173" s="8">
        <v>22287.637636122876</v>
      </c>
    </row>
    <row r="174" spans="1:26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f t="shared" si="12"/>
        <v>0</v>
      </c>
      <c r="I174">
        <v>20</v>
      </c>
      <c r="J174">
        <v>94.4</v>
      </c>
      <c r="K174">
        <v>6.43</v>
      </c>
      <c r="L174">
        <v>0</v>
      </c>
      <c r="M174">
        <v>3.3</v>
      </c>
      <c r="N174">
        <v>780344.18</v>
      </c>
      <c r="O174">
        <v>118239.09</v>
      </c>
      <c r="P174">
        <f t="shared" si="13"/>
        <v>0</v>
      </c>
      <c r="Q174">
        <f t="shared" si="14"/>
        <v>1</v>
      </c>
      <c r="R174">
        <f t="shared" si="15"/>
        <v>1</v>
      </c>
      <c r="S174">
        <f t="shared" si="16"/>
        <v>0</v>
      </c>
      <c r="T174">
        <f t="shared" si="17"/>
        <v>0</v>
      </c>
      <c r="X174" s="8">
        <v>141</v>
      </c>
      <c r="Y174" s="8">
        <v>660464.77467725659</v>
      </c>
      <c r="Z174" s="8">
        <v>55425.75532274344</v>
      </c>
    </row>
    <row r="175" spans="1:26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f t="shared" si="12"/>
        <v>0</v>
      </c>
      <c r="I175">
        <v>22</v>
      </c>
      <c r="J175">
        <v>89</v>
      </c>
      <c r="K175">
        <v>2.11</v>
      </c>
      <c r="L175">
        <v>0</v>
      </c>
      <c r="M175">
        <v>3.1</v>
      </c>
      <c r="N175">
        <v>721364.11</v>
      </c>
      <c r="O175">
        <v>147272.81</v>
      </c>
      <c r="P175">
        <f t="shared" si="13"/>
        <v>0</v>
      </c>
      <c r="Q175">
        <f t="shared" si="14"/>
        <v>1</v>
      </c>
      <c r="R175">
        <f t="shared" si="15"/>
        <v>1</v>
      </c>
      <c r="S175">
        <f t="shared" si="16"/>
        <v>0</v>
      </c>
      <c r="T175">
        <f t="shared" si="17"/>
        <v>0</v>
      </c>
      <c r="X175" s="8">
        <v>142</v>
      </c>
      <c r="Y175" s="8">
        <v>680767.63057225768</v>
      </c>
      <c r="Z175" s="8">
        <v>34329.939427742269</v>
      </c>
    </row>
    <row r="176" spans="1:26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f t="shared" si="12"/>
        <v>0</v>
      </c>
      <c r="I176">
        <v>20</v>
      </c>
      <c r="J176">
        <v>83.9</v>
      </c>
      <c r="K176">
        <v>9.1199999999999992</v>
      </c>
      <c r="L176">
        <v>0</v>
      </c>
      <c r="M176">
        <v>3.6</v>
      </c>
      <c r="N176">
        <v>758138.29</v>
      </c>
      <c r="O176">
        <v>132975.26</v>
      </c>
      <c r="P176">
        <f t="shared" si="13"/>
        <v>0</v>
      </c>
      <c r="Q176">
        <f t="shared" si="14"/>
        <v>1</v>
      </c>
      <c r="R176">
        <f t="shared" si="15"/>
        <v>1</v>
      </c>
      <c r="S176">
        <f t="shared" si="16"/>
        <v>0</v>
      </c>
      <c r="T176">
        <f t="shared" si="17"/>
        <v>0</v>
      </c>
      <c r="X176" s="8">
        <v>143</v>
      </c>
      <c r="Y176" s="8">
        <v>640623.91757593758</v>
      </c>
      <c r="Z176" s="8">
        <v>42015.362424062449</v>
      </c>
    </row>
    <row r="177" spans="1:26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f t="shared" si="12"/>
        <v>0</v>
      </c>
      <c r="I177">
        <v>23</v>
      </c>
      <c r="J177">
        <v>93.9</v>
      </c>
      <c r="K177">
        <v>2.71</v>
      </c>
      <c r="L177">
        <v>0</v>
      </c>
      <c r="M177">
        <v>3.1</v>
      </c>
      <c r="N177">
        <v>804264</v>
      </c>
      <c r="O177">
        <v>167117.91</v>
      </c>
      <c r="P177">
        <f t="shared" si="13"/>
        <v>0</v>
      </c>
      <c r="Q177">
        <f t="shared" si="14"/>
        <v>1</v>
      </c>
      <c r="R177">
        <f t="shared" si="15"/>
        <v>1</v>
      </c>
      <c r="S177">
        <f t="shared" si="16"/>
        <v>0</v>
      </c>
      <c r="T177">
        <f t="shared" si="17"/>
        <v>0</v>
      </c>
      <c r="X177" s="8">
        <v>144</v>
      </c>
      <c r="Y177" s="8">
        <v>652381.84087266936</v>
      </c>
      <c r="Z177" s="8">
        <v>42716.66912733065</v>
      </c>
    </row>
    <row r="178" spans="1:26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f t="shared" si="12"/>
        <v>0</v>
      </c>
      <c r="I178">
        <v>24</v>
      </c>
      <c r="J178">
        <v>76.599999999999994</v>
      </c>
      <c r="K178">
        <v>3.65</v>
      </c>
      <c r="L178">
        <v>1</v>
      </c>
      <c r="M178">
        <v>3.7</v>
      </c>
      <c r="N178">
        <v>887537.75</v>
      </c>
      <c r="O178">
        <v>160362.92000000001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0</v>
      </c>
      <c r="X178" s="8">
        <v>145</v>
      </c>
      <c r="Y178" s="8">
        <v>618236.92042710795</v>
      </c>
      <c r="Z178" s="8">
        <v>-40504.350427108002</v>
      </c>
    </row>
    <row r="179" spans="1:26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f t="shared" si="12"/>
        <v>0</v>
      </c>
      <c r="I179">
        <v>21</v>
      </c>
      <c r="J179">
        <v>90.9</v>
      </c>
      <c r="K179">
        <v>7.86</v>
      </c>
      <c r="L179">
        <v>0</v>
      </c>
      <c r="M179">
        <v>4</v>
      </c>
      <c r="N179">
        <v>783582</v>
      </c>
      <c r="O179">
        <v>130670.93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0</v>
      </c>
      <c r="X179" s="8">
        <v>146</v>
      </c>
      <c r="Y179" s="8">
        <v>566998.87904103671</v>
      </c>
      <c r="Z179" s="8">
        <v>-29940.549041036749</v>
      </c>
    </row>
    <row r="180" spans="1:26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f t="shared" si="12"/>
        <v>0</v>
      </c>
      <c r="I180">
        <v>21</v>
      </c>
      <c r="J180">
        <v>86.6</v>
      </c>
      <c r="K180">
        <v>0.3</v>
      </c>
      <c r="L180">
        <v>0</v>
      </c>
      <c r="M180">
        <v>4.0999999999999996</v>
      </c>
      <c r="N180">
        <v>781955.52</v>
      </c>
      <c r="O180">
        <v>152578.71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0</v>
      </c>
      <c r="X180" s="8">
        <v>147</v>
      </c>
      <c r="Y180" s="8">
        <v>598299.33324024337</v>
      </c>
      <c r="Z180" s="8">
        <v>3269.5367597566219</v>
      </c>
    </row>
    <row r="181" spans="1:26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f t="shared" si="12"/>
        <v>0</v>
      </c>
      <c r="I181">
        <v>20</v>
      </c>
      <c r="J181">
        <v>89.6</v>
      </c>
      <c r="K181">
        <v>8.44</v>
      </c>
      <c r="L181">
        <v>0</v>
      </c>
      <c r="M181">
        <v>4.0999999999999996</v>
      </c>
      <c r="N181">
        <v>898031.04</v>
      </c>
      <c r="O181">
        <v>138666.5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0</v>
      </c>
      <c r="X181" s="8">
        <v>148</v>
      </c>
      <c r="Y181" s="8">
        <v>579969.19322933035</v>
      </c>
      <c r="Z181" s="8">
        <v>-9004.353229330387</v>
      </c>
    </row>
    <row r="182" spans="1:26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f t="shared" si="12"/>
        <v>0</v>
      </c>
      <c r="I182">
        <v>24</v>
      </c>
      <c r="J182">
        <v>89.4</v>
      </c>
      <c r="K182">
        <v>5.27</v>
      </c>
      <c r="L182">
        <v>1</v>
      </c>
      <c r="M182">
        <v>3.9</v>
      </c>
      <c r="N182">
        <v>855341.28</v>
      </c>
      <c r="O182">
        <v>175823.8</v>
      </c>
      <c r="P182">
        <f t="shared" si="13"/>
        <v>0</v>
      </c>
      <c r="Q182">
        <f t="shared" si="14"/>
        <v>0</v>
      </c>
      <c r="R182">
        <f t="shared" si="15"/>
        <v>1</v>
      </c>
      <c r="S182">
        <f t="shared" si="16"/>
        <v>0</v>
      </c>
      <c r="T182">
        <f t="shared" si="17"/>
        <v>0</v>
      </c>
      <c r="X182" s="8">
        <v>149</v>
      </c>
      <c r="Y182" s="8">
        <v>640495.28923369781</v>
      </c>
      <c r="Z182" s="8">
        <v>-26470.379233697779</v>
      </c>
    </row>
    <row r="183" spans="1:26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f t="shared" si="12"/>
        <v>0</v>
      </c>
      <c r="I183">
        <v>22</v>
      </c>
      <c r="J183">
        <v>86.4</v>
      </c>
      <c r="K183">
        <v>13.22</v>
      </c>
      <c r="L183">
        <v>0</v>
      </c>
      <c r="M183">
        <v>3.6</v>
      </c>
      <c r="N183">
        <v>751393.88</v>
      </c>
      <c r="O183">
        <v>91480.320000000007</v>
      </c>
      <c r="P183">
        <f t="shared" si="13"/>
        <v>0</v>
      </c>
      <c r="Q183">
        <f t="shared" si="14"/>
        <v>0</v>
      </c>
      <c r="R183">
        <f t="shared" si="15"/>
        <v>1</v>
      </c>
      <c r="S183">
        <f t="shared" si="16"/>
        <v>0</v>
      </c>
      <c r="T183">
        <f t="shared" si="17"/>
        <v>0</v>
      </c>
      <c r="X183" s="8">
        <v>150</v>
      </c>
      <c r="Y183" s="8">
        <v>672413.91626546707</v>
      </c>
      <c r="Z183" s="8">
        <v>40454.433734532911</v>
      </c>
    </row>
    <row r="184" spans="1:26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f t="shared" si="12"/>
        <v>0</v>
      </c>
      <c r="I184">
        <v>24</v>
      </c>
      <c r="J184">
        <v>76.8</v>
      </c>
      <c r="K184">
        <v>1.02</v>
      </c>
      <c r="L184">
        <v>1</v>
      </c>
      <c r="M184">
        <v>3.8</v>
      </c>
      <c r="N184">
        <v>761077.08</v>
      </c>
      <c r="O184">
        <v>113605.93</v>
      </c>
      <c r="P184">
        <f t="shared" si="13"/>
        <v>0</v>
      </c>
      <c r="Q184">
        <f t="shared" si="14"/>
        <v>0</v>
      </c>
      <c r="R184">
        <f t="shared" si="15"/>
        <v>1</v>
      </c>
      <c r="S184">
        <f t="shared" si="16"/>
        <v>0</v>
      </c>
      <c r="T184">
        <f t="shared" si="17"/>
        <v>0</v>
      </c>
      <c r="X184" s="8">
        <v>151</v>
      </c>
      <c r="Y184" s="8">
        <v>638125.07367090986</v>
      </c>
      <c r="Z184" s="8">
        <v>58619.076329090167</v>
      </c>
    </row>
    <row r="185" spans="1:26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f t="shared" si="12"/>
        <v>0</v>
      </c>
      <c r="I185">
        <v>25</v>
      </c>
      <c r="J185">
        <v>90.1</v>
      </c>
      <c r="K185">
        <v>4.03</v>
      </c>
      <c r="L185">
        <v>0</v>
      </c>
      <c r="M185">
        <v>3.1</v>
      </c>
      <c r="N185">
        <v>819660.59</v>
      </c>
      <c r="O185">
        <v>172699.95</v>
      </c>
      <c r="P185">
        <f t="shared" si="13"/>
        <v>0</v>
      </c>
      <c r="Q185">
        <f t="shared" si="14"/>
        <v>0</v>
      </c>
      <c r="R185">
        <f t="shared" si="15"/>
        <v>1</v>
      </c>
      <c r="S185">
        <f t="shared" si="16"/>
        <v>0</v>
      </c>
      <c r="T185">
        <f t="shared" si="17"/>
        <v>0</v>
      </c>
      <c r="X185" s="8">
        <v>152</v>
      </c>
      <c r="Y185" s="8">
        <v>669494.96536704223</v>
      </c>
      <c r="Z185" s="8">
        <v>56353.024632957764</v>
      </c>
    </row>
    <row r="186" spans="1:26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f t="shared" si="12"/>
        <v>1</v>
      </c>
      <c r="I186">
        <v>13</v>
      </c>
      <c r="J186">
        <v>93.7</v>
      </c>
      <c r="K186">
        <v>2.34</v>
      </c>
      <c r="L186">
        <v>0</v>
      </c>
      <c r="M186">
        <v>4.4000000000000004</v>
      </c>
      <c r="N186">
        <v>681855.56</v>
      </c>
      <c r="O186">
        <v>117645.61</v>
      </c>
      <c r="P186">
        <f t="shared" si="13"/>
        <v>0</v>
      </c>
      <c r="Q186">
        <f t="shared" si="14"/>
        <v>0</v>
      </c>
      <c r="R186">
        <f t="shared" si="15"/>
        <v>0</v>
      </c>
      <c r="S186">
        <f t="shared" si="16"/>
        <v>0</v>
      </c>
      <c r="T186">
        <f t="shared" si="17"/>
        <v>1</v>
      </c>
      <c r="X186" s="8">
        <v>153</v>
      </c>
      <c r="Y186" s="8">
        <v>796597.64673841826</v>
      </c>
      <c r="Z186" s="8">
        <v>-11569.396738418262</v>
      </c>
    </row>
    <row r="187" spans="1:26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f t="shared" si="12"/>
        <v>1</v>
      </c>
      <c r="I187">
        <v>15</v>
      </c>
      <c r="J187">
        <v>95.5</v>
      </c>
      <c r="K187">
        <v>8.51</v>
      </c>
      <c r="L187">
        <v>0</v>
      </c>
      <c r="M187">
        <v>4.4000000000000004</v>
      </c>
      <c r="N187">
        <v>678311.17</v>
      </c>
      <c r="O187">
        <v>132029.76000000001</v>
      </c>
      <c r="P187">
        <f t="shared" si="13"/>
        <v>0</v>
      </c>
      <c r="Q187">
        <f t="shared" si="14"/>
        <v>0</v>
      </c>
      <c r="R187">
        <f t="shared" si="15"/>
        <v>0</v>
      </c>
      <c r="S187">
        <f t="shared" si="16"/>
        <v>0</v>
      </c>
      <c r="T187">
        <f t="shared" si="17"/>
        <v>1</v>
      </c>
      <c r="X187" s="8">
        <v>154</v>
      </c>
      <c r="Y187" s="8">
        <v>691343.77187487006</v>
      </c>
      <c r="Z187" s="8">
        <v>7148.8981251299847</v>
      </c>
    </row>
    <row r="188" spans="1:26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f t="shared" si="12"/>
        <v>1</v>
      </c>
      <c r="I188">
        <v>14</v>
      </c>
      <c r="J188">
        <v>99</v>
      </c>
      <c r="K188">
        <v>0.48</v>
      </c>
      <c r="L188">
        <v>1</v>
      </c>
      <c r="M188">
        <v>4.3</v>
      </c>
      <c r="N188">
        <v>765906.95</v>
      </c>
      <c r="O188">
        <v>114005.9</v>
      </c>
      <c r="P188">
        <f t="shared" si="13"/>
        <v>0</v>
      </c>
      <c r="Q188">
        <f t="shared" si="14"/>
        <v>0</v>
      </c>
      <c r="R188">
        <f t="shared" si="15"/>
        <v>0</v>
      </c>
      <c r="S188">
        <f t="shared" si="16"/>
        <v>0</v>
      </c>
      <c r="T188">
        <f t="shared" si="17"/>
        <v>1</v>
      </c>
      <c r="X188" s="8">
        <v>155</v>
      </c>
      <c r="Y188" s="8">
        <v>720733.07550490042</v>
      </c>
      <c r="Z188" s="8">
        <v>-34902.835504900431</v>
      </c>
    </row>
    <row r="189" spans="1:26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f t="shared" si="12"/>
        <v>1</v>
      </c>
      <c r="I189">
        <v>20</v>
      </c>
      <c r="J189">
        <v>74.900000000000006</v>
      </c>
      <c r="K189">
        <v>13.62</v>
      </c>
      <c r="L189">
        <v>0</v>
      </c>
      <c r="M189">
        <v>4.2</v>
      </c>
      <c r="N189">
        <v>712546.38</v>
      </c>
      <c r="O189">
        <v>101480.04</v>
      </c>
      <c r="P189">
        <f t="shared" si="13"/>
        <v>0</v>
      </c>
      <c r="Q189">
        <f t="shared" si="14"/>
        <v>0</v>
      </c>
      <c r="R189">
        <f t="shared" si="15"/>
        <v>0</v>
      </c>
      <c r="S189">
        <f t="shared" si="16"/>
        <v>0</v>
      </c>
      <c r="T189">
        <f t="shared" si="17"/>
        <v>1</v>
      </c>
      <c r="X189" s="8">
        <v>156</v>
      </c>
      <c r="Y189" s="8">
        <v>697243.23357043194</v>
      </c>
      <c r="Z189" s="8">
        <v>5075.7064295680029</v>
      </c>
    </row>
    <row r="190" spans="1:26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f t="shared" si="12"/>
        <v>0</v>
      </c>
      <c r="I190">
        <v>11</v>
      </c>
      <c r="J190">
        <v>86.4</v>
      </c>
      <c r="K190">
        <v>7.77</v>
      </c>
      <c r="L190">
        <v>0</v>
      </c>
      <c r="M190">
        <v>4.0999999999999996</v>
      </c>
      <c r="N190">
        <v>625993.82999999996</v>
      </c>
      <c r="O190">
        <v>98960.320000000007</v>
      </c>
      <c r="P190">
        <f t="shared" si="13"/>
        <v>0</v>
      </c>
      <c r="Q190">
        <f t="shared" si="14"/>
        <v>1</v>
      </c>
      <c r="R190">
        <f t="shared" si="15"/>
        <v>0</v>
      </c>
      <c r="S190">
        <f t="shared" si="16"/>
        <v>0</v>
      </c>
      <c r="T190">
        <f t="shared" si="17"/>
        <v>1</v>
      </c>
      <c r="X190" s="8">
        <v>157</v>
      </c>
      <c r="Y190" s="8">
        <v>717494.54010345333</v>
      </c>
      <c r="Z190" s="8">
        <v>-17416.220103453379</v>
      </c>
    </row>
    <row r="191" spans="1:26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f t="shared" si="12"/>
        <v>0</v>
      </c>
      <c r="I191">
        <v>10</v>
      </c>
      <c r="J191">
        <v>91.3</v>
      </c>
      <c r="K191">
        <v>1.99</v>
      </c>
      <c r="L191">
        <v>0</v>
      </c>
      <c r="M191">
        <v>3.8</v>
      </c>
      <c r="N191">
        <v>550962.93000000005</v>
      </c>
      <c r="O191">
        <v>97144.58</v>
      </c>
      <c r="P191">
        <f t="shared" si="13"/>
        <v>0</v>
      </c>
      <c r="Q191">
        <f t="shared" si="14"/>
        <v>1</v>
      </c>
      <c r="R191">
        <f t="shared" si="15"/>
        <v>0</v>
      </c>
      <c r="S191">
        <f t="shared" si="16"/>
        <v>0</v>
      </c>
      <c r="T191">
        <f t="shared" si="17"/>
        <v>1</v>
      </c>
      <c r="X191" s="8">
        <v>158</v>
      </c>
      <c r="Y191" s="8">
        <v>627334.68794953846</v>
      </c>
      <c r="Z191" s="8">
        <v>-25332.367949538515</v>
      </c>
    </row>
    <row r="192" spans="1:26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f t="shared" si="12"/>
        <v>0</v>
      </c>
      <c r="I192">
        <v>9</v>
      </c>
      <c r="J192">
        <v>84.1</v>
      </c>
      <c r="K192">
        <v>4.7699999999999996</v>
      </c>
      <c r="L192">
        <v>0</v>
      </c>
      <c r="M192">
        <v>3.8</v>
      </c>
      <c r="N192">
        <v>443275.59</v>
      </c>
      <c r="O192">
        <v>53544.36</v>
      </c>
      <c r="P192">
        <f t="shared" si="13"/>
        <v>0</v>
      </c>
      <c r="Q192">
        <f t="shared" si="14"/>
        <v>1</v>
      </c>
      <c r="R192">
        <f t="shared" si="15"/>
        <v>0</v>
      </c>
      <c r="S192">
        <f t="shared" si="16"/>
        <v>0</v>
      </c>
      <c r="T192">
        <f t="shared" si="17"/>
        <v>1</v>
      </c>
      <c r="X192" s="8">
        <v>159</v>
      </c>
      <c r="Y192" s="8">
        <v>694517.23638387164</v>
      </c>
      <c r="Z192" s="8">
        <v>29698.833616128308</v>
      </c>
    </row>
    <row r="193" spans="1:26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f t="shared" si="12"/>
        <v>0</v>
      </c>
      <c r="I193">
        <v>13</v>
      </c>
      <c r="J193">
        <v>88.7</v>
      </c>
      <c r="K193">
        <v>0.2</v>
      </c>
      <c r="L193">
        <v>0</v>
      </c>
      <c r="M193">
        <v>4.4000000000000004</v>
      </c>
      <c r="N193">
        <v>554012.06999999995</v>
      </c>
      <c r="O193">
        <v>81101.62</v>
      </c>
      <c r="P193">
        <f t="shared" si="13"/>
        <v>0</v>
      </c>
      <c r="Q193">
        <f t="shared" si="14"/>
        <v>1</v>
      </c>
      <c r="R193">
        <f t="shared" si="15"/>
        <v>0</v>
      </c>
      <c r="S193">
        <f t="shared" si="16"/>
        <v>0</v>
      </c>
      <c r="T193">
        <f t="shared" si="17"/>
        <v>1</v>
      </c>
      <c r="X193" s="8">
        <v>160</v>
      </c>
      <c r="Y193" s="8">
        <v>550290.55496469093</v>
      </c>
      <c r="Z193" s="8">
        <v>70682.475035309093</v>
      </c>
    </row>
    <row r="194" spans="1:26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f t="shared" si="12"/>
        <v>0</v>
      </c>
      <c r="I194">
        <v>14</v>
      </c>
      <c r="J194">
        <v>87.9</v>
      </c>
      <c r="K194">
        <v>0.53</v>
      </c>
      <c r="L194">
        <v>0</v>
      </c>
      <c r="M194">
        <v>3.2</v>
      </c>
      <c r="N194">
        <v>643428.85</v>
      </c>
      <c r="O194">
        <v>94477.63</v>
      </c>
      <c r="P194">
        <f t="shared" si="13"/>
        <v>0</v>
      </c>
      <c r="Q194">
        <f t="shared" si="14"/>
        <v>0</v>
      </c>
      <c r="R194">
        <f t="shared" si="15"/>
        <v>1</v>
      </c>
      <c r="S194">
        <f t="shared" si="16"/>
        <v>0</v>
      </c>
      <c r="T194">
        <f t="shared" si="17"/>
        <v>0</v>
      </c>
      <c r="X194" s="8">
        <v>161</v>
      </c>
      <c r="Y194" s="8">
        <v>688921.05880561785</v>
      </c>
      <c r="Z194" s="8">
        <v>-38440.998805617797</v>
      </c>
    </row>
    <row r="195" spans="1:26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f t="shared" ref="H195:H258" si="18">IF($C195="North",1,0)</f>
        <v>0</v>
      </c>
      <c r="I195">
        <v>12</v>
      </c>
      <c r="J195">
        <v>88.5</v>
      </c>
      <c r="K195">
        <v>1.54</v>
      </c>
      <c r="L195">
        <v>0</v>
      </c>
      <c r="M195">
        <v>3.2</v>
      </c>
      <c r="N195">
        <v>611924.27</v>
      </c>
      <c r="O195">
        <v>115488.75</v>
      </c>
      <c r="P195">
        <f t="shared" ref="P195:P258" si="19">IF($C195="South",1,0)</f>
        <v>0</v>
      </c>
      <c r="Q195">
        <f t="shared" ref="Q195:Q258" si="20">IF($C195="East",1,0)</f>
        <v>0</v>
      </c>
      <c r="R195">
        <f t="shared" ref="R195:R258" si="21">IF($D195="Residential",1,0)</f>
        <v>1</v>
      </c>
      <c r="S195">
        <f t="shared" ref="S195:S258" si="22">IF($D195="Mall",1,0)</f>
        <v>0</v>
      </c>
      <c r="T195">
        <f t="shared" ref="T195:T258" si="23">IF($D195="High Street",1,0)</f>
        <v>0</v>
      </c>
      <c r="X195" s="8">
        <v>162</v>
      </c>
      <c r="Y195" s="8">
        <v>693857.85063246195</v>
      </c>
      <c r="Z195" s="8">
        <v>84441.029367538053</v>
      </c>
    </row>
    <row r="196" spans="1:26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f t="shared" si="18"/>
        <v>0</v>
      </c>
      <c r="I196">
        <v>14</v>
      </c>
      <c r="J196">
        <v>86.6</v>
      </c>
      <c r="K196">
        <v>3.63</v>
      </c>
      <c r="L196">
        <v>0</v>
      </c>
      <c r="M196">
        <v>3.7</v>
      </c>
      <c r="N196">
        <v>559422.02</v>
      </c>
      <c r="O196">
        <v>73528.740000000005</v>
      </c>
      <c r="P196">
        <f t="shared" si="19"/>
        <v>0</v>
      </c>
      <c r="Q196">
        <f t="shared" si="20"/>
        <v>0</v>
      </c>
      <c r="R196">
        <f t="shared" si="21"/>
        <v>1</v>
      </c>
      <c r="S196">
        <f t="shared" si="22"/>
        <v>0</v>
      </c>
      <c r="T196">
        <f t="shared" si="23"/>
        <v>0</v>
      </c>
      <c r="X196" s="8">
        <v>163</v>
      </c>
      <c r="Y196" s="8">
        <v>724557.76735109987</v>
      </c>
      <c r="Z196" s="8">
        <v>-47461.057351099909</v>
      </c>
    </row>
    <row r="197" spans="1:26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f t="shared" si="18"/>
        <v>0</v>
      </c>
      <c r="I197">
        <v>7</v>
      </c>
      <c r="J197">
        <v>85.4</v>
      </c>
      <c r="K197">
        <v>13.48</v>
      </c>
      <c r="L197">
        <v>0</v>
      </c>
      <c r="M197" s="4" t="s">
        <v>118</v>
      </c>
      <c r="N197">
        <v>449465.06</v>
      </c>
      <c r="O197">
        <v>65694.78</v>
      </c>
      <c r="P197">
        <f t="shared" si="19"/>
        <v>0</v>
      </c>
      <c r="Q197">
        <f t="shared" si="20"/>
        <v>0</v>
      </c>
      <c r="R197">
        <f t="shared" si="21"/>
        <v>1</v>
      </c>
      <c r="S197">
        <f t="shared" si="22"/>
        <v>0</v>
      </c>
      <c r="T197">
        <f t="shared" si="23"/>
        <v>0</v>
      </c>
      <c r="X197" s="8">
        <v>164</v>
      </c>
      <c r="Y197" s="8">
        <v>679577.10421045334</v>
      </c>
      <c r="Z197" s="8">
        <v>12431.535789546673</v>
      </c>
    </row>
    <row r="198" spans="1:26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f t="shared" si="18"/>
        <v>1</v>
      </c>
      <c r="I198">
        <v>11</v>
      </c>
      <c r="J198">
        <v>89.6</v>
      </c>
      <c r="K198">
        <v>0.2</v>
      </c>
      <c r="L198">
        <v>0</v>
      </c>
      <c r="M198">
        <v>4.2</v>
      </c>
      <c r="N198">
        <v>691447.43</v>
      </c>
      <c r="O198">
        <v>114077.69</v>
      </c>
      <c r="P198">
        <f t="shared" si="19"/>
        <v>0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  <c r="X198" s="8">
        <v>165</v>
      </c>
      <c r="Y198" s="8">
        <v>789138.88096847199</v>
      </c>
      <c r="Z198" s="8">
        <v>36659.029031528044</v>
      </c>
    </row>
    <row r="199" spans="1:26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f t="shared" si="18"/>
        <v>1</v>
      </c>
      <c r="I199">
        <v>15</v>
      </c>
      <c r="J199">
        <v>90.6</v>
      </c>
      <c r="K199">
        <v>12.82</v>
      </c>
      <c r="L199">
        <v>0</v>
      </c>
      <c r="M199">
        <v>4.5999999999999996</v>
      </c>
      <c r="N199">
        <v>574066.61</v>
      </c>
      <c r="O199">
        <v>124674.67</v>
      </c>
      <c r="P199">
        <f t="shared" si="19"/>
        <v>0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  <c r="X199" s="8">
        <v>166</v>
      </c>
      <c r="Y199" s="8">
        <v>732728.94583282038</v>
      </c>
      <c r="Z199" s="8">
        <v>-26443.425832820358</v>
      </c>
    </row>
    <row r="200" spans="1:26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f t="shared" si="18"/>
        <v>1</v>
      </c>
      <c r="I200">
        <v>13</v>
      </c>
      <c r="J200">
        <v>86</v>
      </c>
      <c r="K200">
        <v>2.2400000000000002</v>
      </c>
      <c r="L200">
        <v>1</v>
      </c>
      <c r="M200">
        <v>4.3</v>
      </c>
      <c r="N200">
        <v>578949.84</v>
      </c>
      <c r="O200">
        <v>80253.649999999994</v>
      </c>
      <c r="P200">
        <f t="shared" si="19"/>
        <v>0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  <c r="X200" s="8">
        <v>167</v>
      </c>
      <c r="Y200" s="8">
        <v>668023.78373269131</v>
      </c>
      <c r="Z200" s="8">
        <v>-2489.0837326913606</v>
      </c>
    </row>
    <row r="201" spans="1:26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f t="shared" si="18"/>
        <v>1</v>
      </c>
      <c r="I201">
        <v>18</v>
      </c>
      <c r="J201">
        <v>90</v>
      </c>
      <c r="K201">
        <v>1.8</v>
      </c>
      <c r="L201">
        <v>0</v>
      </c>
      <c r="M201">
        <v>4.8</v>
      </c>
      <c r="N201">
        <v>735786.64</v>
      </c>
      <c r="O201">
        <v>126540.66</v>
      </c>
      <c r="P201">
        <f t="shared" si="19"/>
        <v>0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  <c r="X201" s="8">
        <v>168</v>
      </c>
      <c r="Y201" s="8">
        <v>802905.81554500281</v>
      </c>
      <c r="Z201" s="8">
        <v>17823.474454997224</v>
      </c>
    </row>
    <row r="202" spans="1:26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f t="shared" si="18"/>
        <v>0</v>
      </c>
      <c r="I202">
        <v>13</v>
      </c>
      <c r="J202">
        <v>84.2</v>
      </c>
      <c r="K202">
        <v>0.41</v>
      </c>
      <c r="L202">
        <v>1</v>
      </c>
      <c r="M202">
        <v>4.5999999999999996</v>
      </c>
      <c r="N202">
        <v>598904.9</v>
      </c>
      <c r="O202">
        <v>72861</v>
      </c>
      <c r="P202">
        <f t="shared" si="19"/>
        <v>0</v>
      </c>
      <c r="Q202">
        <f t="shared" si="20"/>
        <v>1</v>
      </c>
      <c r="R202">
        <f t="shared" si="21"/>
        <v>0</v>
      </c>
      <c r="S202">
        <f t="shared" si="22"/>
        <v>0</v>
      </c>
      <c r="T202">
        <f t="shared" si="23"/>
        <v>0</v>
      </c>
      <c r="X202" s="8">
        <v>169</v>
      </c>
      <c r="Y202" s="8">
        <v>779960.91330591124</v>
      </c>
      <c r="Z202" s="8">
        <v>-40129.183305911254</v>
      </c>
    </row>
    <row r="203" spans="1:26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f t="shared" si="18"/>
        <v>0</v>
      </c>
      <c r="I203">
        <v>13</v>
      </c>
      <c r="J203">
        <v>83.9</v>
      </c>
      <c r="K203">
        <v>3.05</v>
      </c>
      <c r="L203">
        <v>0</v>
      </c>
      <c r="M203">
        <v>4.8</v>
      </c>
      <c r="N203">
        <v>787715.51</v>
      </c>
      <c r="O203">
        <v>128969.62</v>
      </c>
      <c r="P203">
        <f t="shared" si="19"/>
        <v>0</v>
      </c>
      <c r="Q203">
        <f t="shared" si="20"/>
        <v>1</v>
      </c>
      <c r="R203">
        <f t="shared" si="21"/>
        <v>0</v>
      </c>
      <c r="S203">
        <f t="shared" si="22"/>
        <v>0</v>
      </c>
      <c r="T203">
        <f t="shared" si="23"/>
        <v>0</v>
      </c>
      <c r="X203" s="8">
        <v>170</v>
      </c>
      <c r="Y203" s="8">
        <v>690045.55139960302</v>
      </c>
      <c r="Z203" s="8">
        <v>-96408.411399603006</v>
      </c>
    </row>
    <row r="204" spans="1:26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f t="shared" si="18"/>
        <v>0</v>
      </c>
      <c r="I204">
        <v>14</v>
      </c>
      <c r="J204">
        <v>80.8</v>
      </c>
      <c r="K204">
        <v>8.44</v>
      </c>
      <c r="L204">
        <v>1</v>
      </c>
      <c r="M204">
        <v>5</v>
      </c>
      <c r="N204">
        <v>607084.92000000004</v>
      </c>
      <c r="O204">
        <v>98558.49</v>
      </c>
      <c r="P204">
        <f t="shared" si="19"/>
        <v>0</v>
      </c>
      <c r="Q204">
        <f t="shared" si="20"/>
        <v>1</v>
      </c>
      <c r="R204">
        <f t="shared" si="21"/>
        <v>0</v>
      </c>
      <c r="S204">
        <f t="shared" si="22"/>
        <v>0</v>
      </c>
      <c r="T204">
        <f t="shared" si="23"/>
        <v>0</v>
      </c>
      <c r="X204" s="8">
        <v>171</v>
      </c>
      <c r="Y204" s="8">
        <v>751178.35697839176</v>
      </c>
      <c r="Z204" s="8">
        <v>18524.403021608246</v>
      </c>
    </row>
    <row r="205" spans="1:26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f t="shared" si="18"/>
        <v>0</v>
      </c>
      <c r="I205">
        <v>15</v>
      </c>
      <c r="J205">
        <v>88.7</v>
      </c>
      <c r="K205">
        <v>0.78</v>
      </c>
      <c r="L205">
        <v>0</v>
      </c>
      <c r="M205">
        <v>4</v>
      </c>
      <c r="N205">
        <v>650795.49</v>
      </c>
      <c r="O205">
        <v>103035.89</v>
      </c>
      <c r="P205">
        <f t="shared" si="19"/>
        <v>0</v>
      </c>
      <c r="Q205">
        <f t="shared" si="20"/>
        <v>1</v>
      </c>
      <c r="R205">
        <f t="shared" si="21"/>
        <v>0</v>
      </c>
      <c r="S205">
        <f t="shared" si="22"/>
        <v>0</v>
      </c>
      <c r="T205">
        <f t="shared" si="23"/>
        <v>0</v>
      </c>
      <c r="X205" s="8">
        <v>172</v>
      </c>
      <c r="Y205" s="8">
        <v>695788.72942324483</v>
      </c>
      <c r="Z205" s="8">
        <v>-16057.159423244884</v>
      </c>
    </row>
    <row r="206" spans="1:26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f t="shared" si="18"/>
        <v>0</v>
      </c>
      <c r="I206">
        <v>24</v>
      </c>
      <c r="J206">
        <v>94.3</v>
      </c>
      <c r="K206">
        <v>0.87</v>
      </c>
      <c r="L206">
        <v>0</v>
      </c>
      <c r="M206">
        <v>3.7</v>
      </c>
      <c r="N206">
        <v>825060.52</v>
      </c>
      <c r="O206">
        <v>143613.15</v>
      </c>
      <c r="P206">
        <f t="shared" si="19"/>
        <v>0</v>
      </c>
      <c r="Q206">
        <f t="shared" si="20"/>
        <v>1</v>
      </c>
      <c r="R206">
        <f t="shared" si="21"/>
        <v>0</v>
      </c>
      <c r="S206">
        <f t="shared" si="22"/>
        <v>1</v>
      </c>
      <c r="T206">
        <f t="shared" si="23"/>
        <v>0</v>
      </c>
      <c r="X206" s="8">
        <v>173</v>
      </c>
      <c r="Y206" s="8">
        <v>760455.75661552337</v>
      </c>
      <c r="Z206" s="8">
        <v>19888.423384476686</v>
      </c>
    </row>
    <row r="207" spans="1:26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f t="shared" si="18"/>
        <v>0</v>
      </c>
      <c r="I207">
        <v>19</v>
      </c>
      <c r="J207">
        <v>94.1</v>
      </c>
      <c r="K207">
        <v>0.95</v>
      </c>
      <c r="L207">
        <v>0</v>
      </c>
      <c r="M207">
        <v>3.7</v>
      </c>
      <c r="N207">
        <v>795464.47</v>
      </c>
      <c r="O207">
        <v>161150.51999999999</v>
      </c>
      <c r="P207">
        <f t="shared" si="19"/>
        <v>0</v>
      </c>
      <c r="Q207">
        <f t="shared" si="20"/>
        <v>1</v>
      </c>
      <c r="R207">
        <f t="shared" si="21"/>
        <v>0</v>
      </c>
      <c r="S207">
        <f t="shared" si="22"/>
        <v>1</v>
      </c>
      <c r="T207">
        <f t="shared" si="23"/>
        <v>0</v>
      </c>
      <c r="X207" s="8">
        <v>174</v>
      </c>
      <c r="Y207" s="8">
        <v>765161.26452445926</v>
      </c>
      <c r="Z207" s="8">
        <v>-43797.154524459271</v>
      </c>
    </row>
    <row r="208" spans="1:26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f t="shared" si="18"/>
        <v>0</v>
      </c>
      <c r="I208">
        <v>19</v>
      </c>
      <c r="J208">
        <v>83.2</v>
      </c>
      <c r="K208">
        <v>3.82</v>
      </c>
      <c r="L208">
        <v>0</v>
      </c>
      <c r="M208">
        <v>3.7</v>
      </c>
      <c r="N208">
        <v>671868.59</v>
      </c>
      <c r="O208">
        <v>71003.28</v>
      </c>
      <c r="P208">
        <f t="shared" si="19"/>
        <v>0</v>
      </c>
      <c r="Q208">
        <f t="shared" si="20"/>
        <v>1</v>
      </c>
      <c r="R208">
        <f t="shared" si="21"/>
        <v>0</v>
      </c>
      <c r="S208">
        <f t="shared" si="22"/>
        <v>1</v>
      </c>
      <c r="T208">
        <f t="shared" si="23"/>
        <v>0</v>
      </c>
      <c r="X208" s="8">
        <v>175</v>
      </c>
      <c r="Y208" s="8">
        <v>802834.58515667228</v>
      </c>
      <c r="Z208" s="8">
        <v>-44696.295156672248</v>
      </c>
    </row>
    <row r="209" spans="1:26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f t="shared" si="18"/>
        <v>0</v>
      </c>
      <c r="I209">
        <v>18</v>
      </c>
      <c r="J209">
        <v>93.6</v>
      </c>
      <c r="K209">
        <v>2.7</v>
      </c>
      <c r="L209">
        <v>0</v>
      </c>
      <c r="M209">
        <v>3.7</v>
      </c>
      <c r="N209">
        <v>675917.63</v>
      </c>
      <c r="O209">
        <v>112564.75</v>
      </c>
      <c r="P209">
        <f t="shared" si="19"/>
        <v>0</v>
      </c>
      <c r="Q209">
        <f t="shared" si="20"/>
        <v>1</v>
      </c>
      <c r="R209">
        <f t="shared" si="21"/>
        <v>0</v>
      </c>
      <c r="S209">
        <f t="shared" si="22"/>
        <v>1</v>
      </c>
      <c r="T209">
        <f t="shared" si="23"/>
        <v>0</v>
      </c>
      <c r="X209" s="8">
        <v>176</v>
      </c>
      <c r="Y209" s="8">
        <v>813477.3063287884</v>
      </c>
      <c r="Z209" s="8">
        <v>-9213.3063287883997</v>
      </c>
    </row>
    <row r="210" spans="1:26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f t="shared" si="18"/>
        <v>0</v>
      </c>
      <c r="I210">
        <v>24</v>
      </c>
      <c r="J210">
        <v>87</v>
      </c>
      <c r="K210">
        <v>3.84</v>
      </c>
      <c r="L210">
        <v>1</v>
      </c>
      <c r="M210">
        <v>3.7</v>
      </c>
      <c r="N210">
        <v>810446.53</v>
      </c>
      <c r="O210">
        <v>200575.34</v>
      </c>
      <c r="P210">
        <f t="shared" si="19"/>
        <v>0</v>
      </c>
      <c r="Q210">
        <f t="shared" si="20"/>
        <v>1</v>
      </c>
      <c r="R210">
        <f t="shared" si="21"/>
        <v>0</v>
      </c>
      <c r="S210">
        <f t="shared" si="22"/>
        <v>0</v>
      </c>
      <c r="T210">
        <f t="shared" si="23"/>
        <v>1</v>
      </c>
      <c r="X210" s="8">
        <v>177</v>
      </c>
      <c r="Y210" s="8">
        <v>894228.89010214154</v>
      </c>
      <c r="Z210" s="8">
        <v>-6691.1401021415368</v>
      </c>
    </row>
    <row r="211" spans="1:26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f t="shared" si="18"/>
        <v>0</v>
      </c>
      <c r="I211">
        <v>19</v>
      </c>
      <c r="J211">
        <v>84.9</v>
      </c>
      <c r="K211">
        <v>5.09</v>
      </c>
      <c r="L211">
        <v>0</v>
      </c>
      <c r="M211">
        <v>3.3</v>
      </c>
      <c r="N211">
        <v>691288.19</v>
      </c>
      <c r="O211">
        <v>159074.14000000001</v>
      </c>
      <c r="P211">
        <f t="shared" si="19"/>
        <v>0</v>
      </c>
      <c r="Q211">
        <f t="shared" si="20"/>
        <v>1</v>
      </c>
      <c r="R211">
        <f t="shared" si="21"/>
        <v>0</v>
      </c>
      <c r="S211">
        <f t="shared" si="22"/>
        <v>0</v>
      </c>
      <c r="T211">
        <f t="shared" si="23"/>
        <v>1</v>
      </c>
      <c r="X211" s="8">
        <v>178</v>
      </c>
      <c r="Y211" s="8">
        <v>690906.21099330334</v>
      </c>
      <c r="Z211" s="8">
        <v>92675.789006696665</v>
      </c>
    </row>
    <row r="212" spans="1:26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f t="shared" si="18"/>
        <v>0</v>
      </c>
      <c r="I212">
        <v>31</v>
      </c>
      <c r="J212">
        <v>91.7</v>
      </c>
      <c r="K212">
        <v>3.82</v>
      </c>
      <c r="L212">
        <v>1</v>
      </c>
      <c r="M212">
        <v>3.7</v>
      </c>
      <c r="N212">
        <v>946833.54</v>
      </c>
      <c r="O212">
        <v>184540.31</v>
      </c>
      <c r="P212">
        <f t="shared" si="19"/>
        <v>0</v>
      </c>
      <c r="Q212">
        <f t="shared" si="20"/>
        <v>1</v>
      </c>
      <c r="R212">
        <f t="shared" si="21"/>
        <v>0</v>
      </c>
      <c r="S212">
        <f t="shared" si="22"/>
        <v>0</v>
      </c>
      <c r="T212">
        <f t="shared" si="23"/>
        <v>1</v>
      </c>
      <c r="X212" s="8">
        <v>179</v>
      </c>
      <c r="Y212" s="8">
        <v>747269.63575476222</v>
      </c>
      <c r="Z212" s="8">
        <v>34685.884245237801</v>
      </c>
    </row>
    <row r="213" spans="1:26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f t="shared" si="18"/>
        <v>0</v>
      </c>
      <c r="I213">
        <v>21</v>
      </c>
      <c r="J213">
        <v>87</v>
      </c>
      <c r="K213">
        <v>12.28</v>
      </c>
      <c r="L213">
        <v>0</v>
      </c>
      <c r="M213">
        <v>4.0999999999999996</v>
      </c>
      <c r="N213">
        <v>761963.23</v>
      </c>
      <c r="O213">
        <v>150113.60999999999</v>
      </c>
      <c r="P213">
        <f t="shared" si="19"/>
        <v>0</v>
      </c>
      <c r="Q213">
        <f t="shared" si="20"/>
        <v>1</v>
      </c>
      <c r="R213">
        <f t="shared" si="21"/>
        <v>0</v>
      </c>
      <c r="S213">
        <f t="shared" si="22"/>
        <v>0</v>
      </c>
      <c r="T213">
        <f t="shared" si="23"/>
        <v>1</v>
      </c>
      <c r="X213" s="8">
        <v>180</v>
      </c>
      <c r="Y213" s="8">
        <v>826330.02505674225</v>
      </c>
      <c r="Z213" s="8">
        <v>71701.014943257789</v>
      </c>
    </row>
    <row r="214" spans="1:26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f t="shared" si="18"/>
        <v>0</v>
      </c>
      <c r="I214">
        <v>25</v>
      </c>
      <c r="J214">
        <v>89.7</v>
      </c>
      <c r="K214">
        <v>2.8</v>
      </c>
      <c r="L214">
        <v>0</v>
      </c>
      <c r="M214">
        <v>4.3</v>
      </c>
      <c r="N214">
        <v>812152.6</v>
      </c>
      <c r="O214">
        <v>138419.43</v>
      </c>
      <c r="P214">
        <f t="shared" si="19"/>
        <v>0</v>
      </c>
      <c r="Q214">
        <f t="shared" si="20"/>
        <v>0</v>
      </c>
      <c r="R214">
        <f t="shared" si="21"/>
        <v>1</v>
      </c>
      <c r="S214">
        <f t="shared" si="22"/>
        <v>0</v>
      </c>
      <c r="T214">
        <f t="shared" si="23"/>
        <v>0</v>
      </c>
      <c r="X214" s="8">
        <v>181</v>
      </c>
      <c r="Y214" s="8">
        <v>858908.17544813047</v>
      </c>
      <c r="Z214" s="8">
        <v>-3566.895448130439</v>
      </c>
    </row>
    <row r="215" spans="1:26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f t="shared" si="18"/>
        <v>0</v>
      </c>
      <c r="I215">
        <v>22</v>
      </c>
      <c r="J215">
        <v>91</v>
      </c>
      <c r="K215">
        <v>3.67</v>
      </c>
      <c r="L215">
        <v>0</v>
      </c>
      <c r="M215">
        <v>4.2</v>
      </c>
      <c r="N215">
        <v>804975.5</v>
      </c>
      <c r="O215">
        <v>140054.5</v>
      </c>
      <c r="P215">
        <f t="shared" si="19"/>
        <v>0</v>
      </c>
      <c r="Q215">
        <f t="shared" si="20"/>
        <v>0</v>
      </c>
      <c r="R215">
        <f t="shared" si="21"/>
        <v>1</v>
      </c>
      <c r="S215">
        <f t="shared" si="22"/>
        <v>0</v>
      </c>
      <c r="T215">
        <f t="shared" si="23"/>
        <v>0</v>
      </c>
      <c r="X215" s="8">
        <v>182</v>
      </c>
      <c r="Y215" s="8">
        <v>757602.27351468289</v>
      </c>
      <c r="Z215" s="8">
        <v>-6208.3935146828881</v>
      </c>
    </row>
    <row r="216" spans="1:26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f t="shared" si="18"/>
        <v>0</v>
      </c>
      <c r="I216">
        <v>22</v>
      </c>
      <c r="J216">
        <v>88</v>
      </c>
      <c r="K216">
        <v>2.81</v>
      </c>
      <c r="L216">
        <v>0</v>
      </c>
      <c r="M216">
        <v>4.7</v>
      </c>
      <c r="N216">
        <v>752321.72</v>
      </c>
      <c r="O216">
        <v>137788.51</v>
      </c>
      <c r="P216">
        <f t="shared" si="19"/>
        <v>0</v>
      </c>
      <c r="Q216">
        <f t="shared" si="20"/>
        <v>0</v>
      </c>
      <c r="R216">
        <f t="shared" si="21"/>
        <v>1</v>
      </c>
      <c r="S216">
        <f t="shared" si="22"/>
        <v>0</v>
      </c>
      <c r="T216">
        <f t="shared" si="23"/>
        <v>0</v>
      </c>
      <c r="X216" s="8">
        <v>183</v>
      </c>
      <c r="Y216" s="8">
        <v>797764.20759947679</v>
      </c>
      <c r="Z216" s="8">
        <v>-36687.127599476837</v>
      </c>
    </row>
    <row r="217" spans="1:26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f t="shared" si="18"/>
        <v>0</v>
      </c>
      <c r="I217">
        <v>25</v>
      </c>
      <c r="J217">
        <v>88.4</v>
      </c>
      <c r="K217">
        <v>2.44</v>
      </c>
      <c r="L217">
        <v>0</v>
      </c>
      <c r="M217">
        <v>4.9000000000000004</v>
      </c>
      <c r="N217">
        <v>836908.24</v>
      </c>
      <c r="O217">
        <v>141090.26</v>
      </c>
      <c r="P217">
        <f t="shared" si="19"/>
        <v>0</v>
      </c>
      <c r="Q217">
        <f t="shared" si="20"/>
        <v>0</v>
      </c>
      <c r="R217">
        <f t="shared" si="21"/>
        <v>1</v>
      </c>
      <c r="S217">
        <f t="shared" si="22"/>
        <v>0</v>
      </c>
      <c r="T217">
        <f t="shared" si="23"/>
        <v>0</v>
      </c>
      <c r="X217" s="8">
        <v>184</v>
      </c>
      <c r="Y217" s="8">
        <v>827029.11772628874</v>
      </c>
      <c r="Z217" s="8">
        <v>-7368.5277262887685</v>
      </c>
    </row>
    <row r="218" spans="1:26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f t="shared" si="18"/>
        <v>1</v>
      </c>
      <c r="I218">
        <v>12</v>
      </c>
      <c r="J218">
        <v>82.9</v>
      </c>
      <c r="K218">
        <v>3.27</v>
      </c>
      <c r="L218">
        <v>0</v>
      </c>
      <c r="M218">
        <v>3.3</v>
      </c>
      <c r="N218">
        <v>674289.1</v>
      </c>
      <c r="O218">
        <v>117773.79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0</v>
      </c>
      <c r="X218" s="8">
        <v>185</v>
      </c>
      <c r="Y218" s="8">
        <v>687915.85052306694</v>
      </c>
      <c r="Z218" s="8">
        <v>-6060.2905230668839</v>
      </c>
    </row>
    <row r="219" spans="1:26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f t="shared" si="18"/>
        <v>1</v>
      </c>
      <c r="I219">
        <v>17</v>
      </c>
      <c r="J219">
        <v>94.3</v>
      </c>
      <c r="K219">
        <v>10.34</v>
      </c>
      <c r="L219">
        <v>0</v>
      </c>
      <c r="M219">
        <v>3.9</v>
      </c>
      <c r="N219">
        <v>622892.42000000004</v>
      </c>
      <c r="O219">
        <v>101032.52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0</v>
      </c>
      <c r="X219" s="8">
        <v>186</v>
      </c>
      <c r="Y219" s="8">
        <v>635416.76818881452</v>
      </c>
      <c r="Z219" s="8">
        <v>42894.401811185526</v>
      </c>
    </row>
    <row r="220" spans="1:26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f t="shared" si="18"/>
        <v>1</v>
      </c>
      <c r="I220">
        <v>14</v>
      </c>
      <c r="J220">
        <v>90.7</v>
      </c>
      <c r="K220">
        <v>1.92</v>
      </c>
      <c r="L220">
        <v>0</v>
      </c>
      <c r="M220">
        <v>3.7</v>
      </c>
      <c r="N220">
        <v>673348.56</v>
      </c>
      <c r="O220">
        <v>69464.59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0</v>
      </c>
      <c r="X220" s="8">
        <v>187</v>
      </c>
      <c r="Y220" s="8">
        <v>675884.89831018797</v>
      </c>
      <c r="Z220" s="8">
        <v>90022.051689811982</v>
      </c>
    </row>
    <row r="221" spans="1:26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f t="shared" si="18"/>
        <v>1</v>
      </c>
      <c r="I221">
        <v>11</v>
      </c>
      <c r="J221">
        <v>95.9</v>
      </c>
      <c r="K221">
        <v>3.1</v>
      </c>
      <c r="L221">
        <v>0</v>
      </c>
      <c r="M221">
        <v>3.9</v>
      </c>
      <c r="N221">
        <v>606278.30000000005</v>
      </c>
      <c r="O221">
        <v>102213.26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0</v>
      </c>
      <c r="X221" s="8">
        <v>188</v>
      </c>
      <c r="Y221" s="8">
        <v>748846.43274083571</v>
      </c>
      <c r="Z221" s="8">
        <v>-36300.052740835701</v>
      </c>
    </row>
    <row r="222" spans="1:26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f t="shared" si="18"/>
        <v>0</v>
      </c>
      <c r="I222">
        <v>18</v>
      </c>
      <c r="J222">
        <v>90.6</v>
      </c>
      <c r="K222">
        <v>6.34</v>
      </c>
      <c r="L222">
        <v>1</v>
      </c>
      <c r="M222">
        <v>3.8</v>
      </c>
      <c r="N222">
        <v>712219.81</v>
      </c>
      <c r="O222">
        <v>85906.54</v>
      </c>
      <c r="P222">
        <f t="shared" si="19"/>
        <v>0</v>
      </c>
      <c r="Q222">
        <f t="shared" si="20"/>
        <v>1</v>
      </c>
      <c r="R222">
        <f t="shared" si="21"/>
        <v>0</v>
      </c>
      <c r="S222">
        <f t="shared" si="22"/>
        <v>0</v>
      </c>
      <c r="T222">
        <f t="shared" si="23"/>
        <v>1</v>
      </c>
      <c r="X222" s="8">
        <v>189</v>
      </c>
      <c r="Y222" s="8">
        <v>606204.75822694332</v>
      </c>
      <c r="Z222" s="8">
        <v>19789.071773056639</v>
      </c>
    </row>
    <row r="223" spans="1:26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f t="shared" si="18"/>
        <v>0</v>
      </c>
      <c r="I223">
        <v>18</v>
      </c>
      <c r="J223">
        <v>90.2</v>
      </c>
      <c r="K223">
        <v>1.2</v>
      </c>
      <c r="L223">
        <v>0</v>
      </c>
      <c r="M223">
        <v>3.4</v>
      </c>
      <c r="N223">
        <v>672670.54</v>
      </c>
      <c r="O223">
        <v>132684.18</v>
      </c>
      <c r="P223">
        <f t="shared" si="19"/>
        <v>0</v>
      </c>
      <c r="Q223">
        <f t="shared" si="20"/>
        <v>1</v>
      </c>
      <c r="R223">
        <f t="shared" si="21"/>
        <v>0</v>
      </c>
      <c r="S223">
        <f t="shared" si="22"/>
        <v>0</v>
      </c>
      <c r="T223">
        <f t="shared" si="23"/>
        <v>1</v>
      </c>
      <c r="X223" s="8">
        <v>190</v>
      </c>
      <c r="Y223" s="8">
        <v>543141.00051998615</v>
      </c>
      <c r="Z223" s="8">
        <v>7821.9294800139032</v>
      </c>
    </row>
    <row r="224" spans="1:26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f t="shared" si="18"/>
        <v>0</v>
      </c>
      <c r="I224">
        <v>19</v>
      </c>
      <c r="J224">
        <v>90.4</v>
      </c>
      <c r="K224">
        <v>4.5</v>
      </c>
      <c r="L224">
        <v>0</v>
      </c>
      <c r="M224">
        <v>3.3</v>
      </c>
      <c r="N224">
        <v>732667.92</v>
      </c>
      <c r="O224">
        <v>128654.46</v>
      </c>
      <c r="P224">
        <f t="shared" si="19"/>
        <v>0</v>
      </c>
      <c r="Q224">
        <f t="shared" si="20"/>
        <v>1</v>
      </c>
      <c r="R224">
        <f t="shared" si="21"/>
        <v>0</v>
      </c>
      <c r="S224">
        <f t="shared" si="22"/>
        <v>0</v>
      </c>
      <c r="T224">
        <f t="shared" si="23"/>
        <v>1</v>
      </c>
      <c r="X224" s="8">
        <v>191</v>
      </c>
      <c r="Y224" s="8">
        <v>469844.33592189342</v>
      </c>
      <c r="Z224" s="8">
        <v>-26568.745921893395</v>
      </c>
    </row>
    <row r="225" spans="1:26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f t="shared" si="18"/>
        <v>0</v>
      </c>
      <c r="I225">
        <v>21</v>
      </c>
      <c r="J225">
        <v>84.4</v>
      </c>
      <c r="K225">
        <v>6.68</v>
      </c>
      <c r="L225">
        <v>0</v>
      </c>
      <c r="M225">
        <v>3.6</v>
      </c>
      <c r="N225">
        <v>723531.4</v>
      </c>
      <c r="O225">
        <v>108794.85</v>
      </c>
      <c r="P225">
        <f t="shared" si="19"/>
        <v>0</v>
      </c>
      <c r="Q225">
        <f t="shared" si="20"/>
        <v>1</v>
      </c>
      <c r="R225">
        <f t="shared" si="21"/>
        <v>0</v>
      </c>
      <c r="S225">
        <f t="shared" si="22"/>
        <v>0</v>
      </c>
      <c r="T225">
        <f t="shared" si="23"/>
        <v>1</v>
      </c>
      <c r="X225" s="8">
        <v>192</v>
      </c>
      <c r="Y225" s="8">
        <v>601560.06467992801</v>
      </c>
      <c r="Z225" s="8">
        <v>-47547.994679928059</v>
      </c>
    </row>
    <row r="226" spans="1:26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f t="shared" si="18"/>
        <v>0</v>
      </c>
      <c r="I226">
        <v>15</v>
      </c>
      <c r="J226">
        <v>82.6</v>
      </c>
      <c r="K226">
        <v>4.07</v>
      </c>
      <c r="L226">
        <v>1</v>
      </c>
      <c r="M226">
        <v>3</v>
      </c>
      <c r="N226">
        <v>641564.6</v>
      </c>
      <c r="O226">
        <v>90468.96</v>
      </c>
      <c r="P226">
        <f t="shared" si="19"/>
        <v>0</v>
      </c>
      <c r="Q226">
        <f t="shared" si="20"/>
        <v>1</v>
      </c>
      <c r="R226">
        <f t="shared" si="21"/>
        <v>0</v>
      </c>
      <c r="S226">
        <f t="shared" si="22"/>
        <v>1</v>
      </c>
      <c r="T226">
        <f t="shared" si="23"/>
        <v>0</v>
      </c>
      <c r="X226" s="8">
        <v>193</v>
      </c>
      <c r="Y226" s="8">
        <v>692560.73396348266</v>
      </c>
      <c r="Z226" s="8">
        <v>-49131.883963482687</v>
      </c>
    </row>
    <row r="227" spans="1:26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f t="shared" si="18"/>
        <v>0</v>
      </c>
      <c r="I227">
        <v>10</v>
      </c>
      <c r="J227">
        <v>79.5</v>
      </c>
      <c r="K227">
        <v>5.45</v>
      </c>
      <c r="L227">
        <v>0</v>
      </c>
      <c r="M227">
        <v>3.4</v>
      </c>
      <c r="N227">
        <v>536545.49</v>
      </c>
      <c r="O227">
        <v>97917.45</v>
      </c>
      <c r="P227">
        <f t="shared" si="19"/>
        <v>0</v>
      </c>
      <c r="Q227">
        <f t="shared" si="20"/>
        <v>1</v>
      </c>
      <c r="R227">
        <f t="shared" si="21"/>
        <v>0</v>
      </c>
      <c r="S227">
        <f t="shared" si="22"/>
        <v>1</v>
      </c>
      <c r="T227">
        <f t="shared" si="23"/>
        <v>0</v>
      </c>
      <c r="X227" s="8">
        <v>194</v>
      </c>
      <c r="Y227" s="8">
        <v>624815.52161674958</v>
      </c>
      <c r="Z227" s="8">
        <v>-12891.251616749563</v>
      </c>
    </row>
    <row r="228" spans="1:26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f t="shared" si="18"/>
        <v>0</v>
      </c>
      <c r="I228">
        <v>12</v>
      </c>
      <c r="J228">
        <v>83.2</v>
      </c>
      <c r="K228">
        <v>15.58</v>
      </c>
      <c r="L228">
        <v>0</v>
      </c>
      <c r="M228">
        <v>3.3</v>
      </c>
      <c r="N228">
        <v>527681.56000000006</v>
      </c>
      <c r="O228">
        <v>63153.05</v>
      </c>
      <c r="P228">
        <f t="shared" si="19"/>
        <v>0</v>
      </c>
      <c r="Q228">
        <f t="shared" si="20"/>
        <v>1</v>
      </c>
      <c r="R228">
        <f t="shared" si="21"/>
        <v>0</v>
      </c>
      <c r="S228">
        <f t="shared" si="22"/>
        <v>1</v>
      </c>
      <c r="T228">
        <f t="shared" si="23"/>
        <v>0</v>
      </c>
      <c r="X228" s="8">
        <v>195</v>
      </c>
      <c r="Y228" s="8">
        <v>572130.36258772714</v>
      </c>
      <c r="Z228" s="8">
        <v>-12708.342587727122</v>
      </c>
    </row>
    <row r="229" spans="1:26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f t="shared" si="18"/>
        <v>0</v>
      </c>
      <c r="I229">
        <v>5</v>
      </c>
      <c r="J229">
        <v>95</v>
      </c>
      <c r="K229">
        <v>5.32</v>
      </c>
      <c r="L229">
        <v>0</v>
      </c>
      <c r="M229" s="4" t="s">
        <v>118</v>
      </c>
      <c r="N229">
        <v>529598.93999999994</v>
      </c>
      <c r="O229">
        <v>84334.33</v>
      </c>
      <c r="P229">
        <f t="shared" si="19"/>
        <v>0</v>
      </c>
      <c r="Q229">
        <f t="shared" si="20"/>
        <v>1</v>
      </c>
      <c r="R229">
        <f t="shared" si="21"/>
        <v>0</v>
      </c>
      <c r="S229">
        <f t="shared" si="22"/>
        <v>1</v>
      </c>
      <c r="T229">
        <f t="shared" si="23"/>
        <v>0</v>
      </c>
      <c r="X229" s="8">
        <v>196</v>
      </c>
      <c r="Y229" s="8">
        <v>539551.72412476572</v>
      </c>
      <c r="Z229" s="8">
        <v>-90086.664124765724</v>
      </c>
    </row>
    <row r="230" spans="1:26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f t="shared" si="18"/>
        <v>0</v>
      </c>
      <c r="I230">
        <v>12</v>
      </c>
      <c r="J230">
        <v>85.9</v>
      </c>
      <c r="K230">
        <v>0.37</v>
      </c>
      <c r="L230">
        <v>0</v>
      </c>
      <c r="M230">
        <v>3.8</v>
      </c>
      <c r="N230">
        <v>570963.31000000006</v>
      </c>
      <c r="O230">
        <v>87342.25</v>
      </c>
      <c r="P230">
        <f t="shared" si="19"/>
        <v>0</v>
      </c>
      <c r="Q230">
        <f t="shared" si="20"/>
        <v>1</v>
      </c>
      <c r="R230">
        <f t="shared" si="21"/>
        <v>0</v>
      </c>
      <c r="S230">
        <f t="shared" si="22"/>
        <v>0</v>
      </c>
      <c r="T230">
        <f t="shared" si="23"/>
        <v>1</v>
      </c>
      <c r="X230" s="8">
        <v>197</v>
      </c>
      <c r="Y230" s="8">
        <v>648157.61239706329</v>
      </c>
      <c r="Z230" s="8">
        <v>43289.817602936761</v>
      </c>
    </row>
    <row r="231" spans="1:26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f t="shared" si="18"/>
        <v>0</v>
      </c>
      <c r="I231">
        <v>24</v>
      </c>
      <c r="J231">
        <v>86.2</v>
      </c>
      <c r="K231">
        <v>21.63</v>
      </c>
      <c r="L231">
        <v>0</v>
      </c>
      <c r="M231">
        <v>4</v>
      </c>
      <c r="N231">
        <v>870937.4</v>
      </c>
      <c r="O231">
        <v>175282.74</v>
      </c>
      <c r="P231">
        <f t="shared" si="19"/>
        <v>0</v>
      </c>
      <c r="Q231">
        <f t="shared" si="20"/>
        <v>1</v>
      </c>
      <c r="R231">
        <f t="shared" si="21"/>
        <v>0</v>
      </c>
      <c r="S231">
        <f t="shared" si="22"/>
        <v>0</v>
      </c>
      <c r="T231">
        <f t="shared" si="23"/>
        <v>1</v>
      </c>
      <c r="X231" s="8">
        <v>198</v>
      </c>
      <c r="Y231" s="8">
        <v>614118.95915334567</v>
      </c>
      <c r="Z231" s="8">
        <v>-40052.349153345684</v>
      </c>
    </row>
    <row r="232" spans="1:26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f t="shared" si="18"/>
        <v>0</v>
      </c>
      <c r="I232">
        <v>15</v>
      </c>
      <c r="J232">
        <v>84.4</v>
      </c>
      <c r="K232">
        <v>2.48</v>
      </c>
      <c r="L232">
        <v>0</v>
      </c>
      <c r="M232">
        <v>3.9</v>
      </c>
      <c r="N232">
        <v>596969.27</v>
      </c>
      <c r="O232">
        <v>105669.51</v>
      </c>
      <c r="P232">
        <f t="shared" si="19"/>
        <v>0</v>
      </c>
      <c r="Q232">
        <f t="shared" si="20"/>
        <v>1</v>
      </c>
      <c r="R232">
        <f t="shared" si="21"/>
        <v>0</v>
      </c>
      <c r="S232">
        <f t="shared" si="22"/>
        <v>0</v>
      </c>
      <c r="T232">
        <f t="shared" si="23"/>
        <v>1</v>
      </c>
      <c r="X232" s="8">
        <v>199</v>
      </c>
      <c r="Y232" s="8">
        <v>613399.634160463</v>
      </c>
      <c r="Z232" s="8">
        <v>-34449.794160463032</v>
      </c>
    </row>
    <row r="233" spans="1:26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f t="shared" si="18"/>
        <v>0</v>
      </c>
      <c r="I233">
        <v>11</v>
      </c>
      <c r="J233">
        <v>95.4</v>
      </c>
      <c r="L233">
        <v>0</v>
      </c>
      <c r="M233">
        <v>3.7</v>
      </c>
      <c r="N233">
        <v>647512.85</v>
      </c>
      <c r="O233">
        <v>153835.57</v>
      </c>
      <c r="P233">
        <f t="shared" si="19"/>
        <v>0</v>
      </c>
      <c r="Q233">
        <f t="shared" si="20"/>
        <v>1</v>
      </c>
      <c r="R233">
        <f t="shared" si="21"/>
        <v>0</v>
      </c>
      <c r="S233">
        <f t="shared" si="22"/>
        <v>0</v>
      </c>
      <c r="T233">
        <f t="shared" si="23"/>
        <v>1</v>
      </c>
      <c r="X233" s="8">
        <v>200</v>
      </c>
      <c r="Y233" s="8">
        <v>648531.77706220793</v>
      </c>
      <c r="Z233" s="8">
        <v>87254.862937792088</v>
      </c>
    </row>
    <row r="234" spans="1:26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f t="shared" si="18"/>
        <v>0</v>
      </c>
      <c r="I234">
        <v>13</v>
      </c>
      <c r="J234">
        <v>95.3</v>
      </c>
      <c r="K234">
        <v>0.85</v>
      </c>
      <c r="L234">
        <v>0</v>
      </c>
      <c r="M234">
        <v>4.3</v>
      </c>
      <c r="N234">
        <v>658072.14</v>
      </c>
      <c r="O234">
        <v>110595.89</v>
      </c>
      <c r="P234">
        <f t="shared" si="19"/>
        <v>0</v>
      </c>
      <c r="Q234">
        <f t="shared" si="20"/>
        <v>0</v>
      </c>
      <c r="R234">
        <f t="shared" si="21"/>
        <v>1</v>
      </c>
      <c r="S234">
        <f t="shared" si="22"/>
        <v>0</v>
      </c>
      <c r="T234">
        <f t="shared" si="23"/>
        <v>0</v>
      </c>
      <c r="X234" s="8">
        <v>201</v>
      </c>
      <c r="Y234" s="8">
        <v>621711.51976274583</v>
      </c>
      <c r="Z234" s="8">
        <v>-22806.619762745802</v>
      </c>
    </row>
    <row r="235" spans="1:26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f t="shared" si="18"/>
        <v>0</v>
      </c>
      <c r="I235">
        <v>17</v>
      </c>
      <c r="J235">
        <v>89.2</v>
      </c>
      <c r="K235">
        <v>2.13</v>
      </c>
      <c r="L235">
        <v>0</v>
      </c>
      <c r="M235">
        <v>4</v>
      </c>
      <c r="N235">
        <v>723305.11</v>
      </c>
      <c r="O235">
        <v>128468.7</v>
      </c>
      <c r="P235">
        <f t="shared" si="19"/>
        <v>0</v>
      </c>
      <c r="Q235">
        <f t="shared" si="20"/>
        <v>0</v>
      </c>
      <c r="R235">
        <f t="shared" si="21"/>
        <v>1</v>
      </c>
      <c r="S235">
        <f t="shared" si="22"/>
        <v>0</v>
      </c>
      <c r="T235">
        <f t="shared" si="23"/>
        <v>0</v>
      </c>
      <c r="X235" s="8">
        <v>202</v>
      </c>
      <c r="Y235" s="8">
        <v>696760.22370832425</v>
      </c>
      <c r="Z235" s="8">
        <v>90955.286291675759</v>
      </c>
    </row>
    <row r="236" spans="1:26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f t="shared" si="18"/>
        <v>0</v>
      </c>
      <c r="I236">
        <v>16</v>
      </c>
      <c r="J236">
        <v>81.2</v>
      </c>
      <c r="K236">
        <v>1.46</v>
      </c>
      <c r="L236">
        <v>0</v>
      </c>
      <c r="M236">
        <v>4.5</v>
      </c>
      <c r="N236">
        <v>640666.53</v>
      </c>
      <c r="O236">
        <v>134919.16</v>
      </c>
      <c r="P236">
        <f t="shared" si="19"/>
        <v>0</v>
      </c>
      <c r="Q236">
        <f t="shared" si="20"/>
        <v>0</v>
      </c>
      <c r="R236">
        <f t="shared" si="21"/>
        <v>1</v>
      </c>
      <c r="S236">
        <f t="shared" si="22"/>
        <v>0</v>
      </c>
      <c r="T236">
        <f t="shared" si="23"/>
        <v>0</v>
      </c>
      <c r="X236" s="8">
        <v>203</v>
      </c>
      <c r="Y236" s="8">
        <v>675896.36402022222</v>
      </c>
      <c r="Z236" s="8">
        <v>-68811.444020222174</v>
      </c>
    </row>
    <row r="237" spans="1:26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f t="shared" si="18"/>
        <v>0</v>
      </c>
      <c r="I237">
        <v>17</v>
      </c>
      <c r="J237">
        <v>92.2</v>
      </c>
      <c r="K237">
        <v>3.02</v>
      </c>
      <c r="L237">
        <v>0</v>
      </c>
      <c r="M237">
        <v>4.0999999999999996</v>
      </c>
      <c r="N237">
        <v>670629.48</v>
      </c>
      <c r="O237">
        <v>100140.8</v>
      </c>
      <c r="P237">
        <f t="shared" si="19"/>
        <v>0</v>
      </c>
      <c r="Q237">
        <f t="shared" si="20"/>
        <v>0</v>
      </c>
      <c r="R237">
        <f t="shared" si="21"/>
        <v>1</v>
      </c>
      <c r="S237">
        <f t="shared" si="22"/>
        <v>0</v>
      </c>
      <c r="T237">
        <f t="shared" si="23"/>
        <v>0</v>
      </c>
      <c r="X237" s="8">
        <v>204</v>
      </c>
      <c r="Y237" s="8">
        <v>670482.2694377047</v>
      </c>
      <c r="Z237" s="8">
        <v>-19686.77943770471</v>
      </c>
    </row>
    <row r="238" spans="1:26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f t="shared" si="18"/>
        <v>0</v>
      </c>
      <c r="I238">
        <v>22</v>
      </c>
      <c r="J238">
        <v>89.4</v>
      </c>
      <c r="K238">
        <v>3.22</v>
      </c>
      <c r="L238">
        <v>0</v>
      </c>
      <c r="M238">
        <v>3.7</v>
      </c>
      <c r="N238">
        <v>721079.35</v>
      </c>
      <c r="O238">
        <v>115295.05</v>
      </c>
      <c r="P238">
        <f t="shared" si="19"/>
        <v>0</v>
      </c>
      <c r="Q238">
        <f t="shared" si="20"/>
        <v>0</v>
      </c>
      <c r="R238">
        <f t="shared" si="21"/>
        <v>0</v>
      </c>
      <c r="S238">
        <f t="shared" si="22"/>
        <v>1</v>
      </c>
      <c r="T238">
        <f t="shared" si="23"/>
        <v>0</v>
      </c>
      <c r="X238" s="8">
        <v>205</v>
      </c>
      <c r="Y238" s="8">
        <v>823120.393193483</v>
      </c>
      <c r="Z238" s="8">
        <v>1940.1268065170152</v>
      </c>
    </row>
    <row r="239" spans="1:26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f t="shared" si="18"/>
        <v>0</v>
      </c>
      <c r="I239">
        <v>22</v>
      </c>
      <c r="J239">
        <v>89.1</v>
      </c>
      <c r="K239">
        <v>15.66</v>
      </c>
      <c r="L239">
        <v>0</v>
      </c>
      <c r="M239">
        <v>3.4</v>
      </c>
      <c r="N239">
        <v>810355.02</v>
      </c>
      <c r="O239">
        <v>131510</v>
      </c>
      <c r="P239">
        <f t="shared" si="19"/>
        <v>0</v>
      </c>
      <c r="Q239">
        <f t="shared" si="20"/>
        <v>0</v>
      </c>
      <c r="R239">
        <f t="shared" si="21"/>
        <v>0</v>
      </c>
      <c r="S239">
        <f t="shared" si="22"/>
        <v>1</v>
      </c>
      <c r="T239">
        <f t="shared" si="23"/>
        <v>0</v>
      </c>
      <c r="X239" s="8">
        <v>206</v>
      </c>
      <c r="Y239" s="8">
        <v>723555.82872879936</v>
      </c>
      <c r="Z239" s="8">
        <v>71908.641271200613</v>
      </c>
    </row>
    <row r="240" spans="1:26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f t="shared" si="18"/>
        <v>0</v>
      </c>
      <c r="I240">
        <v>23</v>
      </c>
      <c r="J240">
        <v>80.900000000000006</v>
      </c>
      <c r="K240">
        <v>6.96</v>
      </c>
      <c r="L240">
        <v>0</v>
      </c>
      <c r="M240">
        <v>3.2</v>
      </c>
      <c r="N240">
        <v>761919.25</v>
      </c>
      <c r="O240">
        <v>111893.06</v>
      </c>
      <c r="P240">
        <f t="shared" si="19"/>
        <v>0</v>
      </c>
      <c r="Q240">
        <f t="shared" si="20"/>
        <v>0</v>
      </c>
      <c r="R240">
        <f t="shared" si="21"/>
        <v>0</v>
      </c>
      <c r="S240">
        <f t="shared" si="22"/>
        <v>1</v>
      </c>
      <c r="T240">
        <f t="shared" si="23"/>
        <v>0</v>
      </c>
      <c r="X240" s="8">
        <v>207</v>
      </c>
      <c r="Y240" s="8">
        <v>748608.48286144377</v>
      </c>
      <c r="Z240" s="8">
        <v>-76739.892861443805</v>
      </c>
    </row>
    <row r="241" spans="1:26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f t="shared" si="18"/>
        <v>0</v>
      </c>
      <c r="I241">
        <v>21</v>
      </c>
      <c r="J241">
        <v>83.7</v>
      </c>
      <c r="K241">
        <v>4.62</v>
      </c>
      <c r="L241">
        <v>0</v>
      </c>
      <c r="M241">
        <v>3.3</v>
      </c>
      <c r="N241">
        <v>737070.18</v>
      </c>
      <c r="O241">
        <v>117593.97</v>
      </c>
      <c r="P241">
        <f t="shared" si="19"/>
        <v>0</v>
      </c>
      <c r="Q241">
        <f t="shared" si="20"/>
        <v>0</v>
      </c>
      <c r="R241">
        <f t="shared" si="21"/>
        <v>0</v>
      </c>
      <c r="S241">
        <f t="shared" si="22"/>
        <v>1</v>
      </c>
      <c r="T241">
        <f t="shared" si="23"/>
        <v>0</v>
      </c>
      <c r="X241" s="8">
        <v>208</v>
      </c>
      <c r="Y241" s="8">
        <v>739481.40585015505</v>
      </c>
      <c r="Z241" s="8">
        <v>-63563.775850155042</v>
      </c>
    </row>
    <row r="242" spans="1:26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f t="shared" si="18"/>
        <v>0</v>
      </c>
      <c r="I242">
        <v>22</v>
      </c>
      <c r="J242">
        <v>85.6</v>
      </c>
      <c r="K242">
        <v>10.68</v>
      </c>
      <c r="L242">
        <v>1</v>
      </c>
      <c r="M242">
        <v>2.9</v>
      </c>
      <c r="N242">
        <v>776992.93</v>
      </c>
      <c r="O242">
        <v>101598.32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0</v>
      </c>
      <c r="T242">
        <f t="shared" si="23"/>
        <v>0</v>
      </c>
      <c r="X242" s="8">
        <v>209</v>
      </c>
      <c r="Y242" s="8">
        <v>810185.46360147628</v>
      </c>
      <c r="Z242" s="8">
        <v>261.06639852374792</v>
      </c>
    </row>
    <row r="243" spans="1:26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f t="shared" si="18"/>
        <v>0</v>
      </c>
      <c r="I243">
        <v>13</v>
      </c>
      <c r="J243">
        <v>85.5</v>
      </c>
      <c r="K243">
        <v>4.04</v>
      </c>
      <c r="L243">
        <v>0</v>
      </c>
      <c r="M243">
        <v>3.7</v>
      </c>
      <c r="N243">
        <v>676337.41</v>
      </c>
      <c r="O243">
        <v>104355.77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0</v>
      </c>
      <c r="T243">
        <f t="shared" si="23"/>
        <v>0</v>
      </c>
      <c r="X243" s="8">
        <v>210</v>
      </c>
      <c r="Y243" s="8">
        <v>780660.48684842919</v>
      </c>
      <c r="Z243" s="8">
        <v>-89372.296848429251</v>
      </c>
    </row>
    <row r="244" spans="1:26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f t="shared" si="18"/>
        <v>0</v>
      </c>
      <c r="I244">
        <v>24</v>
      </c>
      <c r="J244">
        <v>84.8</v>
      </c>
      <c r="K244">
        <v>1.87</v>
      </c>
      <c r="L244">
        <v>0</v>
      </c>
      <c r="M244">
        <v>3.5</v>
      </c>
      <c r="N244">
        <v>828219.67</v>
      </c>
      <c r="O244">
        <v>179806.87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0</v>
      </c>
      <c r="T244">
        <f t="shared" si="23"/>
        <v>0</v>
      </c>
      <c r="X244" s="8">
        <v>211</v>
      </c>
      <c r="Y244" s="8">
        <v>958438.28698671446</v>
      </c>
      <c r="Z244" s="8">
        <v>-11604.746986714425</v>
      </c>
    </row>
    <row r="245" spans="1:26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f t="shared" si="18"/>
        <v>0</v>
      </c>
      <c r="I245">
        <v>21</v>
      </c>
      <c r="J245">
        <v>95.2</v>
      </c>
      <c r="K245">
        <v>2.83</v>
      </c>
      <c r="L245">
        <v>0</v>
      </c>
      <c r="M245">
        <v>3</v>
      </c>
      <c r="N245">
        <v>763159.92</v>
      </c>
      <c r="O245">
        <v>177104.87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0</v>
      </c>
      <c r="T245">
        <f t="shared" si="23"/>
        <v>0</v>
      </c>
      <c r="X245" s="8">
        <v>212</v>
      </c>
      <c r="Y245" s="8">
        <v>782198.03430234909</v>
      </c>
      <c r="Z245" s="8">
        <v>-20234.804302349105</v>
      </c>
    </row>
    <row r="246" spans="1:26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f t="shared" si="18"/>
        <v>0</v>
      </c>
      <c r="I246">
        <v>20</v>
      </c>
      <c r="J246">
        <v>91</v>
      </c>
      <c r="K246">
        <v>0.95</v>
      </c>
      <c r="L246">
        <v>0</v>
      </c>
      <c r="M246">
        <v>3.2</v>
      </c>
      <c r="N246">
        <v>802001.68</v>
      </c>
      <c r="O246">
        <v>159715.82</v>
      </c>
      <c r="P246">
        <f t="shared" si="19"/>
        <v>0</v>
      </c>
      <c r="Q246">
        <f t="shared" si="20"/>
        <v>1</v>
      </c>
      <c r="R246">
        <f t="shared" si="21"/>
        <v>0</v>
      </c>
      <c r="S246">
        <f t="shared" si="22"/>
        <v>0</v>
      </c>
      <c r="T246">
        <f t="shared" si="23"/>
        <v>1</v>
      </c>
      <c r="X246" s="8">
        <v>213</v>
      </c>
      <c r="Y246" s="8">
        <v>775767.90042674937</v>
      </c>
      <c r="Z246" s="8">
        <v>36384.699573250604</v>
      </c>
    </row>
    <row r="247" spans="1:26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f t="shared" si="18"/>
        <v>0</v>
      </c>
      <c r="I247">
        <v>20</v>
      </c>
      <c r="J247">
        <v>89.9</v>
      </c>
      <c r="K247">
        <v>0.8</v>
      </c>
      <c r="L247">
        <v>0</v>
      </c>
      <c r="M247">
        <v>3.4</v>
      </c>
      <c r="N247">
        <v>750471.34</v>
      </c>
      <c r="O247">
        <v>133788.04</v>
      </c>
      <c r="P247">
        <f t="shared" si="19"/>
        <v>0</v>
      </c>
      <c r="Q247">
        <f t="shared" si="20"/>
        <v>1</v>
      </c>
      <c r="R247">
        <f t="shared" si="21"/>
        <v>0</v>
      </c>
      <c r="S247">
        <f t="shared" si="22"/>
        <v>0</v>
      </c>
      <c r="T247">
        <f t="shared" si="23"/>
        <v>1</v>
      </c>
      <c r="X247" s="8">
        <v>214</v>
      </c>
      <c r="Y247" s="8">
        <v>757168.03064839554</v>
      </c>
      <c r="Z247" s="8">
        <v>47807.469351604464</v>
      </c>
    </row>
    <row r="248" spans="1:26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f t="shared" si="18"/>
        <v>0</v>
      </c>
      <c r="I248">
        <v>21</v>
      </c>
      <c r="J248">
        <v>91.8</v>
      </c>
      <c r="K248">
        <v>0.2</v>
      </c>
      <c r="L248">
        <v>0</v>
      </c>
      <c r="M248">
        <v>3.1</v>
      </c>
      <c r="N248">
        <v>679230.86</v>
      </c>
      <c r="O248">
        <v>106927.58</v>
      </c>
      <c r="P248">
        <f t="shared" si="19"/>
        <v>0</v>
      </c>
      <c r="Q248">
        <f t="shared" si="20"/>
        <v>1</v>
      </c>
      <c r="R248">
        <f t="shared" si="21"/>
        <v>0</v>
      </c>
      <c r="S248">
        <f t="shared" si="22"/>
        <v>0</v>
      </c>
      <c r="T248">
        <f t="shared" si="23"/>
        <v>1</v>
      </c>
      <c r="X248" s="8">
        <v>215</v>
      </c>
      <c r="Y248" s="8">
        <v>770961.2142002011</v>
      </c>
      <c r="Z248" s="8">
        <v>-18639.494200201123</v>
      </c>
    </row>
    <row r="249" spans="1:26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f t="shared" si="18"/>
        <v>0</v>
      </c>
      <c r="I249">
        <v>20</v>
      </c>
      <c r="J249">
        <v>90.4</v>
      </c>
      <c r="K249">
        <v>1.7</v>
      </c>
      <c r="L249">
        <v>0</v>
      </c>
      <c r="M249">
        <v>3.3</v>
      </c>
      <c r="N249">
        <v>679888.74</v>
      </c>
      <c r="O249">
        <v>83406.89</v>
      </c>
      <c r="P249">
        <f t="shared" si="19"/>
        <v>0</v>
      </c>
      <c r="Q249">
        <f t="shared" si="20"/>
        <v>1</v>
      </c>
      <c r="R249">
        <f t="shared" si="21"/>
        <v>0</v>
      </c>
      <c r="S249">
        <f t="shared" si="22"/>
        <v>0</v>
      </c>
      <c r="T249">
        <f t="shared" si="23"/>
        <v>1</v>
      </c>
      <c r="X249" s="8">
        <v>216</v>
      </c>
      <c r="Y249" s="8">
        <v>824451.42166050419</v>
      </c>
      <c r="Z249" s="8">
        <v>12456.818339495803</v>
      </c>
    </row>
    <row r="250" spans="1:26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f t="shared" si="18"/>
        <v>1</v>
      </c>
      <c r="I250">
        <v>10</v>
      </c>
      <c r="J250">
        <v>96.1</v>
      </c>
      <c r="L250">
        <v>0</v>
      </c>
      <c r="M250">
        <v>3.8</v>
      </c>
      <c r="N250">
        <v>606783.67000000004</v>
      </c>
      <c r="O250">
        <v>74515.87</v>
      </c>
      <c r="P250">
        <f t="shared" si="19"/>
        <v>0</v>
      </c>
      <c r="Q250">
        <f t="shared" si="20"/>
        <v>0</v>
      </c>
      <c r="R250">
        <f t="shared" si="21"/>
        <v>0</v>
      </c>
      <c r="S250">
        <f t="shared" si="22"/>
        <v>0</v>
      </c>
      <c r="T250">
        <f t="shared" si="23"/>
        <v>1</v>
      </c>
      <c r="X250" s="8">
        <v>217</v>
      </c>
      <c r="Y250" s="8">
        <v>656862.03774729953</v>
      </c>
      <c r="Z250" s="8">
        <v>17427.062252700445</v>
      </c>
    </row>
    <row r="251" spans="1:26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f t="shared" si="18"/>
        <v>1</v>
      </c>
      <c r="I251">
        <v>17</v>
      </c>
      <c r="J251">
        <v>81.8</v>
      </c>
      <c r="K251">
        <v>5.0999999999999996</v>
      </c>
      <c r="L251">
        <v>0</v>
      </c>
      <c r="M251">
        <v>3.6</v>
      </c>
      <c r="N251">
        <v>642751.42000000004</v>
      </c>
      <c r="O251">
        <v>131942.15</v>
      </c>
      <c r="P251">
        <f t="shared" si="19"/>
        <v>0</v>
      </c>
      <c r="Q251">
        <f t="shared" si="20"/>
        <v>0</v>
      </c>
      <c r="R251">
        <f t="shared" si="21"/>
        <v>0</v>
      </c>
      <c r="S251">
        <f t="shared" si="22"/>
        <v>0</v>
      </c>
      <c r="T251">
        <f t="shared" si="23"/>
        <v>1</v>
      </c>
      <c r="X251" s="8">
        <v>218</v>
      </c>
      <c r="Y251" s="8">
        <v>593750.99745248479</v>
      </c>
      <c r="Z251" s="8">
        <v>29141.422547515249</v>
      </c>
    </row>
    <row r="252" spans="1:26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f t="shared" si="18"/>
        <v>1</v>
      </c>
      <c r="I252">
        <v>15</v>
      </c>
      <c r="J252">
        <v>88.4</v>
      </c>
      <c r="K252">
        <v>0.83</v>
      </c>
      <c r="L252">
        <v>0</v>
      </c>
      <c r="M252">
        <v>4</v>
      </c>
      <c r="N252">
        <v>647953.78</v>
      </c>
      <c r="O252">
        <v>118497.43</v>
      </c>
      <c r="P252">
        <f t="shared" si="19"/>
        <v>0</v>
      </c>
      <c r="Q252">
        <f t="shared" si="20"/>
        <v>0</v>
      </c>
      <c r="R252">
        <f t="shared" si="21"/>
        <v>0</v>
      </c>
      <c r="S252">
        <f t="shared" si="22"/>
        <v>0</v>
      </c>
      <c r="T252">
        <f t="shared" si="23"/>
        <v>1</v>
      </c>
      <c r="X252" s="8">
        <v>219</v>
      </c>
      <c r="Y252" s="8">
        <v>604889.76305588474</v>
      </c>
      <c r="Z252" s="8">
        <v>68458.796944115311</v>
      </c>
    </row>
    <row r="253" spans="1:26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f t="shared" si="18"/>
        <v>1</v>
      </c>
      <c r="I253">
        <v>14</v>
      </c>
      <c r="J253">
        <v>79.2</v>
      </c>
      <c r="K253">
        <v>1.1399999999999999</v>
      </c>
      <c r="L253">
        <v>0</v>
      </c>
      <c r="M253">
        <v>4</v>
      </c>
      <c r="N253">
        <v>729440.45</v>
      </c>
      <c r="O253">
        <v>87614.29</v>
      </c>
      <c r="P253">
        <f t="shared" si="19"/>
        <v>0</v>
      </c>
      <c r="Q253">
        <f t="shared" si="20"/>
        <v>0</v>
      </c>
      <c r="R253">
        <f t="shared" si="21"/>
        <v>0</v>
      </c>
      <c r="S253">
        <f t="shared" si="22"/>
        <v>0</v>
      </c>
      <c r="T253">
        <f t="shared" si="23"/>
        <v>1</v>
      </c>
      <c r="X253" s="8">
        <v>220</v>
      </c>
      <c r="Y253" s="8">
        <v>572792.07601229975</v>
      </c>
      <c r="Z253" s="8">
        <v>33486.223987700301</v>
      </c>
    </row>
    <row r="254" spans="1:26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f t="shared" si="18"/>
        <v>0</v>
      </c>
      <c r="I254">
        <v>16</v>
      </c>
      <c r="J254">
        <v>99</v>
      </c>
      <c r="K254">
        <v>9.5399999999999991</v>
      </c>
      <c r="L254">
        <v>0</v>
      </c>
      <c r="M254">
        <v>3.7</v>
      </c>
      <c r="N254">
        <v>764949</v>
      </c>
      <c r="O254">
        <v>148322.43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0</v>
      </c>
      <c r="T254">
        <f t="shared" si="23"/>
        <v>0</v>
      </c>
      <c r="X254" s="8">
        <v>221</v>
      </c>
      <c r="Y254" s="8">
        <v>699452.86765290902</v>
      </c>
      <c r="Z254" s="8">
        <v>12766.942347091041</v>
      </c>
    </row>
    <row r="255" spans="1:26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f t="shared" si="18"/>
        <v>0</v>
      </c>
      <c r="I255">
        <v>17</v>
      </c>
      <c r="J255">
        <v>89.5</v>
      </c>
      <c r="K255">
        <v>5.48</v>
      </c>
      <c r="L255">
        <v>0</v>
      </c>
      <c r="M255">
        <v>3.2</v>
      </c>
      <c r="N255">
        <v>799046.94</v>
      </c>
      <c r="O255">
        <v>144553.64000000001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0</v>
      </c>
      <c r="T255">
        <f t="shared" si="23"/>
        <v>0</v>
      </c>
      <c r="X255" s="8">
        <v>222</v>
      </c>
      <c r="Y255" s="8">
        <v>678902.57347481058</v>
      </c>
      <c r="Z255" s="8">
        <v>-6232.0334748105379</v>
      </c>
    </row>
    <row r="256" spans="1:26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f t="shared" si="18"/>
        <v>0</v>
      </c>
      <c r="I256">
        <v>13</v>
      </c>
      <c r="J256">
        <v>87.9</v>
      </c>
      <c r="K256">
        <v>0.84</v>
      </c>
      <c r="L256">
        <v>0</v>
      </c>
      <c r="M256">
        <v>3.6</v>
      </c>
      <c r="N256">
        <v>720079.54</v>
      </c>
      <c r="O256">
        <v>119499.47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0</v>
      </c>
      <c r="T256">
        <f t="shared" si="23"/>
        <v>0</v>
      </c>
      <c r="X256" s="8">
        <v>223</v>
      </c>
      <c r="Y256" s="8">
        <v>737196.34944668179</v>
      </c>
      <c r="Z256" s="8">
        <v>-4528.4294466817519</v>
      </c>
    </row>
    <row r="257" spans="1:26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f t="shared" si="18"/>
        <v>0</v>
      </c>
      <c r="I257">
        <v>17</v>
      </c>
      <c r="J257">
        <v>88.3</v>
      </c>
      <c r="K257">
        <v>4.1900000000000004</v>
      </c>
      <c r="L257">
        <v>0</v>
      </c>
      <c r="M257">
        <v>4.0999999999999996</v>
      </c>
      <c r="N257">
        <v>612390.14</v>
      </c>
      <c r="O257">
        <v>108985.74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0</v>
      </c>
      <c r="T257">
        <f t="shared" si="23"/>
        <v>0</v>
      </c>
      <c r="X257" s="8">
        <v>224</v>
      </c>
      <c r="Y257" s="8">
        <v>781764.62422442634</v>
      </c>
      <c r="Z257" s="8">
        <v>-58233.224224426318</v>
      </c>
    </row>
    <row r="258" spans="1:26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f t="shared" si="18"/>
        <v>0</v>
      </c>
      <c r="I258">
        <v>19</v>
      </c>
      <c r="J258">
        <v>87.8</v>
      </c>
      <c r="K258">
        <v>1.26</v>
      </c>
      <c r="L258">
        <v>1</v>
      </c>
      <c r="M258">
        <v>4.3</v>
      </c>
      <c r="N258">
        <v>840108.12</v>
      </c>
      <c r="O258">
        <v>126587.01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1</v>
      </c>
      <c r="T258">
        <f t="shared" si="23"/>
        <v>0</v>
      </c>
      <c r="X258" s="8">
        <v>225</v>
      </c>
      <c r="Y258" s="8">
        <v>625144.44373897475</v>
      </c>
      <c r="Z258" s="8">
        <v>16420.156261025229</v>
      </c>
    </row>
    <row r="259" spans="1:26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f t="shared" ref="H259:H321" si="24">IF($C259="North",1,0)</f>
        <v>0</v>
      </c>
      <c r="I259">
        <v>19</v>
      </c>
      <c r="J259">
        <v>82.7</v>
      </c>
      <c r="K259">
        <v>2.74</v>
      </c>
      <c r="L259">
        <v>0</v>
      </c>
      <c r="M259">
        <v>4.5999999999999996</v>
      </c>
      <c r="N259">
        <v>697888.09</v>
      </c>
      <c r="O259">
        <v>116249.87</v>
      </c>
      <c r="P259">
        <f t="shared" ref="P259:P321" si="25">IF($C259="South",1,0)</f>
        <v>1</v>
      </c>
      <c r="Q259">
        <f t="shared" ref="Q259:Q321" si="26">IF($C259="East",1,0)</f>
        <v>0</v>
      </c>
      <c r="R259">
        <f t="shared" ref="R259:R321" si="27">IF($D259="Residential",1,0)</f>
        <v>0</v>
      </c>
      <c r="S259">
        <f t="shared" ref="S259:S321" si="28">IF($D259="Mall",1,0)</f>
        <v>1</v>
      </c>
      <c r="T259">
        <f t="shared" ref="T259:T321" si="29">IF($D259="High Street",1,0)</f>
        <v>0</v>
      </c>
      <c r="X259" s="8">
        <v>226</v>
      </c>
      <c r="Y259" s="8">
        <v>557712.41118736111</v>
      </c>
      <c r="Z259" s="8">
        <v>-21166.92118736112</v>
      </c>
    </row>
    <row r="260" spans="1:26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f t="shared" si="24"/>
        <v>0</v>
      </c>
      <c r="I260">
        <v>19</v>
      </c>
      <c r="J260">
        <v>87.5</v>
      </c>
      <c r="K260">
        <v>3.69</v>
      </c>
      <c r="L260">
        <v>0</v>
      </c>
      <c r="M260">
        <v>4.4000000000000004</v>
      </c>
      <c r="N260">
        <v>746115.59</v>
      </c>
      <c r="O260">
        <v>94662.96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1</v>
      </c>
      <c r="T260">
        <f t="shared" si="29"/>
        <v>0</v>
      </c>
      <c r="X260" s="8">
        <v>227</v>
      </c>
      <c r="Y260" s="8">
        <v>570861.31000628683</v>
      </c>
      <c r="Z260" s="8">
        <v>-43179.750006286777</v>
      </c>
    </row>
    <row r="261" spans="1:26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f t="shared" si="24"/>
        <v>0</v>
      </c>
      <c r="I261">
        <v>21</v>
      </c>
      <c r="J261">
        <v>92.2</v>
      </c>
      <c r="K261">
        <v>1.82</v>
      </c>
      <c r="L261">
        <v>0</v>
      </c>
      <c r="M261">
        <v>3.6</v>
      </c>
      <c r="N261">
        <v>776110.32</v>
      </c>
      <c r="O261">
        <v>139676.21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1</v>
      </c>
      <c r="T261">
        <f t="shared" si="29"/>
        <v>0</v>
      </c>
      <c r="X261" s="8">
        <v>228</v>
      </c>
      <c r="Y261" s="8">
        <v>490072.03176239127</v>
      </c>
      <c r="Z261" s="8">
        <v>39526.908237608674</v>
      </c>
    </row>
    <row r="262" spans="1:26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f t="shared" si="24"/>
        <v>0</v>
      </c>
      <c r="I262">
        <v>10</v>
      </c>
      <c r="J262">
        <v>90.3</v>
      </c>
      <c r="K262">
        <v>6.62</v>
      </c>
      <c r="L262">
        <v>0</v>
      </c>
      <c r="M262">
        <v>4.2</v>
      </c>
      <c r="N262">
        <v>528852.62</v>
      </c>
      <c r="O262">
        <v>68426.210000000006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0</v>
      </c>
      <c r="T262">
        <f t="shared" si="29"/>
        <v>1</v>
      </c>
      <c r="X262" s="8">
        <v>229</v>
      </c>
      <c r="Y262" s="8">
        <v>643337.8390515385</v>
      </c>
      <c r="Z262" s="8">
        <v>-72374.52905153844</v>
      </c>
    </row>
    <row r="263" spans="1:26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f t="shared" si="24"/>
        <v>0</v>
      </c>
      <c r="I263">
        <v>13</v>
      </c>
      <c r="J263">
        <v>87.3</v>
      </c>
      <c r="L263">
        <v>0</v>
      </c>
      <c r="M263">
        <v>4.2</v>
      </c>
      <c r="N263">
        <v>605751.32999999996</v>
      </c>
      <c r="O263">
        <v>60685.53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0</v>
      </c>
      <c r="T263">
        <f t="shared" si="29"/>
        <v>1</v>
      </c>
      <c r="X263" s="8">
        <v>230</v>
      </c>
      <c r="Y263" s="8">
        <v>818496.03165007988</v>
      </c>
      <c r="Z263" s="8">
        <v>52441.368349920143</v>
      </c>
    </row>
    <row r="264" spans="1:26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f t="shared" si="24"/>
        <v>0</v>
      </c>
      <c r="I264">
        <v>11</v>
      </c>
      <c r="J264">
        <v>83.7</v>
      </c>
      <c r="K264">
        <v>6.92</v>
      </c>
      <c r="L264">
        <v>1</v>
      </c>
      <c r="M264">
        <v>4.2</v>
      </c>
      <c r="N264">
        <v>677640.65</v>
      </c>
      <c r="O264">
        <v>111610.89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0</v>
      </c>
      <c r="T264">
        <f t="shared" si="29"/>
        <v>1</v>
      </c>
      <c r="X264" s="8">
        <v>231</v>
      </c>
      <c r="Y264" s="8">
        <v>649631.50141536375</v>
      </c>
      <c r="Z264" s="8">
        <v>-52662.231415363727</v>
      </c>
    </row>
    <row r="265" spans="1:26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f t="shared" si="24"/>
        <v>0</v>
      </c>
      <c r="I265">
        <v>12</v>
      </c>
      <c r="J265">
        <v>93.8</v>
      </c>
      <c r="K265">
        <v>11.78</v>
      </c>
      <c r="L265">
        <v>0</v>
      </c>
      <c r="M265">
        <v>3.7</v>
      </c>
      <c r="N265">
        <v>636613.23</v>
      </c>
      <c r="O265">
        <v>78908.350000000006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0</v>
      </c>
      <c r="T265">
        <f t="shared" si="29"/>
        <v>1</v>
      </c>
      <c r="X265" s="8">
        <v>232</v>
      </c>
      <c r="Y265" s="8">
        <v>619935.64856642007</v>
      </c>
      <c r="Z265" s="8">
        <v>27577.201433579903</v>
      </c>
    </row>
    <row r="266" spans="1:26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f t="shared" si="24"/>
        <v>0</v>
      </c>
      <c r="I266">
        <v>15</v>
      </c>
      <c r="J266">
        <v>95.8</v>
      </c>
      <c r="K266">
        <v>0.5</v>
      </c>
      <c r="L266">
        <v>0</v>
      </c>
      <c r="M266">
        <v>3.5</v>
      </c>
      <c r="N266">
        <v>708985.19</v>
      </c>
      <c r="O266">
        <v>125368.16</v>
      </c>
      <c r="P266">
        <f t="shared" si="25"/>
        <v>0</v>
      </c>
      <c r="Q266">
        <f t="shared" si="26"/>
        <v>1</v>
      </c>
      <c r="R266">
        <f t="shared" si="27"/>
        <v>0</v>
      </c>
      <c r="S266">
        <f t="shared" si="28"/>
        <v>0</v>
      </c>
      <c r="T266">
        <f t="shared" si="29"/>
        <v>1</v>
      </c>
      <c r="X266" s="8">
        <v>233</v>
      </c>
      <c r="Y266" s="8">
        <v>597951.69799367734</v>
      </c>
      <c r="Z266" s="8">
        <v>60120.442006322672</v>
      </c>
    </row>
    <row r="267" spans="1:26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f t="shared" si="24"/>
        <v>0</v>
      </c>
      <c r="I267">
        <v>20</v>
      </c>
      <c r="J267">
        <v>85.2</v>
      </c>
      <c r="K267">
        <v>0.88</v>
      </c>
      <c r="L267">
        <v>0</v>
      </c>
      <c r="M267">
        <v>3.7</v>
      </c>
      <c r="N267">
        <v>767792.94</v>
      </c>
      <c r="O267">
        <v>96235.77</v>
      </c>
      <c r="P267">
        <f t="shared" si="25"/>
        <v>0</v>
      </c>
      <c r="Q267">
        <f t="shared" si="26"/>
        <v>1</v>
      </c>
      <c r="R267">
        <f t="shared" si="27"/>
        <v>0</v>
      </c>
      <c r="S267">
        <f t="shared" si="28"/>
        <v>0</v>
      </c>
      <c r="T267">
        <f t="shared" si="29"/>
        <v>1</v>
      </c>
      <c r="X267" s="8">
        <v>234</v>
      </c>
      <c r="Y267" s="8">
        <v>644543.89151204086</v>
      </c>
      <c r="Z267" s="8">
        <v>78761.218487959122</v>
      </c>
    </row>
    <row r="268" spans="1:26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f t="shared" si="24"/>
        <v>0</v>
      </c>
      <c r="I268">
        <v>21</v>
      </c>
      <c r="J268">
        <v>88.3</v>
      </c>
      <c r="K268">
        <v>2.25</v>
      </c>
      <c r="L268">
        <v>0</v>
      </c>
      <c r="M268">
        <v>3.7</v>
      </c>
      <c r="N268">
        <v>745580.51</v>
      </c>
      <c r="O268">
        <v>116273.68</v>
      </c>
      <c r="P268">
        <f t="shared" si="25"/>
        <v>0</v>
      </c>
      <c r="Q268">
        <f t="shared" si="26"/>
        <v>1</v>
      </c>
      <c r="R268">
        <f t="shared" si="27"/>
        <v>0</v>
      </c>
      <c r="S268">
        <f t="shared" si="28"/>
        <v>0</v>
      </c>
      <c r="T268">
        <f t="shared" si="29"/>
        <v>1</v>
      </c>
      <c r="X268" s="8">
        <v>235</v>
      </c>
      <c r="Y268" s="8">
        <v>657843.33414926729</v>
      </c>
      <c r="Z268" s="8">
        <v>-17176.804149267264</v>
      </c>
    </row>
    <row r="269" spans="1:26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f t="shared" si="24"/>
        <v>0</v>
      </c>
      <c r="I269">
        <v>15</v>
      </c>
      <c r="J269">
        <v>92.9</v>
      </c>
      <c r="K269">
        <v>0.28999999999999998</v>
      </c>
      <c r="L269">
        <v>0</v>
      </c>
      <c r="M269">
        <v>3.5</v>
      </c>
      <c r="N269">
        <v>762328.31</v>
      </c>
      <c r="O269">
        <v>159158.19</v>
      </c>
      <c r="P269">
        <f t="shared" si="25"/>
        <v>0</v>
      </c>
      <c r="Q269">
        <f t="shared" si="26"/>
        <v>1</v>
      </c>
      <c r="R269">
        <f t="shared" si="27"/>
        <v>0</v>
      </c>
      <c r="S269">
        <f t="shared" si="28"/>
        <v>0</v>
      </c>
      <c r="T269">
        <f t="shared" si="29"/>
        <v>1</v>
      </c>
      <c r="X269" s="8">
        <v>236</v>
      </c>
      <c r="Y269" s="8">
        <v>658137.94679863297</v>
      </c>
      <c r="Z269" s="8">
        <v>12491.533201367012</v>
      </c>
    </row>
    <row r="270" spans="1:26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f t="shared" si="24"/>
        <v>0</v>
      </c>
      <c r="I270">
        <v>16</v>
      </c>
      <c r="J270">
        <v>94.9</v>
      </c>
      <c r="K270">
        <v>0.65</v>
      </c>
      <c r="L270">
        <v>0</v>
      </c>
      <c r="M270">
        <v>3.6</v>
      </c>
      <c r="N270">
        <v>660633.99</v>
      </c>
      <c r="O270">
        <v>118768.66</v>
      </c>
      <c r="P270">
        <f t="shared" si="25"/>
        <v>0</v>
      </c>
      <c r="Q270">
        <f t="shared" si="26"/>
        <v>1</v>
      </c>
      <c r="R270">
        <f t="shared" si="27"/>
        <v>0</v>
      </c>
      <c r="S270">
        <f t="shared" si="28"/>
        <v>1</v>
      </c>
      <c r="T270">
        <f t="shared" si="29"/>
        <v>0</v>
      </c>
      <c r="X270" s="8">
        <v>237</v>
      </c>
      <c r="Y270" s="8">
        <v>781649.71712326596</v>
      </c>
      <c r="Z270" s="8">
        <v>-60570.367123265984</v>
      </c>
    </row>
    <row r="271" spans="1:26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f t="shared" si="24"/>
        <v>0</v>
      </c>
      <c r="I271">
        <v>20</v>
      </c>
      <c r="J271">
        <v>89</v>
      </c>
      <c r="K271">
        <v>0.2</v>
      </c>
      <c r="L271">
        <v>0</v>
      </c>
      <c r="M271">
        <v>3.5</v>
      </c>
      <c r="N271">
        <v>739374.56</v>
      </c>
      <c r="O271">
        <v>121032.29</v>
      </c>
      <c r="P271">
        <f t="shared" si="25"/>
        <v>0</v>
      </c>
      <c r="Q271">
        <f t="shared" si="26"/>
        <v>1</v>
      </c>
      <c r="R271">
        <f t="shared" si="27"/>
        <v>0</v>
      </c>
      <c r="S271">
        <f t="shared" si="28"/>
        <v>1</v>
      </c>
      <c r="T271">
        <f t="shared" si="29"/>
        <v>0</v>
      </c>
      <c r="X271" s="8">
        <v>238</v>
      </c>
      <c r="Y271" s="8">
        <v>815775.21086039394</v>
      </c>
      <c r="Z271" s="8">
        <v>-5420.1908603939228</v>
      </c>
    </row>
    <row r="272" spans="1:26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f t="shared" si="24"/>
        <v>0</v>
      </c>
      <c r="I272">
        <v>21</v>
      </c>
      <c r="J272">
        <v>87.6</v>
      </c>
      <c r="K272">
        <v>3.63</v>
      </c>
      <c r="L272">
        <v>1</v>
      </c>
      <c r="M272">
        <v>3.8</v>
      </c>
      <c r="N272">
        <v>799756.46</v>
      </c>
      <c r="O272">
        <v>105052.93</v>
      </c>
      <c r="P272">
        <f t="shared" si="25"/>
        <v>0</v>
      </c>
      <c r="Q272">
        <f t="shared" si="26"/>
        <v>1</v>
      </c>
      <c r="R272">
        <f t="shared" si="27"/>
        <v>0</v>
      </c>
      <c r="S272">
        <f t="shared" si="28"/>
        <v>1</v>
      </c>
      <c r="T272">
        <f t="shared" si="29"/>
        <v>0</v>
      </c>
      <c r="X272" s="8">
        <v>239</v>
      </c>
      <c r="Y272" s="8">
        <v>781779.38441428298</v>
      </c>
      <c r="Z272" s="8">
        <v>-19860.134414282977</v>
      </c>
    </row>
    <row r="273" spans="1:26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f t="shared" si="24"/>
        <v>0</v>
      </c>
      <c r="I273">
        <v>15</v>
      </c>
      <c r="J273">
        <v>86.2</v>
      </c>
      <c r="K273">
        <v>0.2</v>
      </c>
      <c r="L273">
        <v>0</v>
      </c>
      <c r="M273">
        <v>3.2</v>
      </c>
      <c r="N273">
        <v>593343</v>
      </c>
      <c r="O273">
        <v>82832.240000000005</v>
      </c>
      <c r="P273">
        <f t="shared" si="25"/>
        <v>0</v>
      </c>
      <c r="Q273">
        <f t="shared" si="26"/>
        <v>1</v>
      </c>
      <c r="R273">
        <f t="shared" si="27"/>
        <v>0</v>
      </c>
      <c r="S273">
        <f t="shared" si="28"/>
        <v>1</v>
      </c>
      <c r="T273">
        <f t="shared" si="29"/>
        <v>0</v>
      </c>
      <c r="X273" s="8">
        <v>240</v>
      </c>
      <c r="Y273" s="8">
        <v>733118.83187125181</v>
      </c>
      <c r="Z273" s="8">
        <v>3951.3481287482427</v>
      </c>
    </row>
    <row r="274" spans="1:26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f t="shared" si="24"/>
        <v>0</v>
      </c>
      <c r="I274">
        <v>17</v>
      </c>
      <c r="J274">
        <v>85.6</v>
      </c>
      <c r="K274">
        <v>6.23</v>
      </c>
      <c r="L274">
        <v>0</v>
      </c>
      <c r="M274">
        <v>3.3</v>
      </c>
      <c r="N274">
        <v>645039.97</v>
      </c>
      <c r="O274">
        <v>83093.33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0</v>
      </c>
      <c r="T274">
        <f t="shared" si="29"/>
        <v>1</v>
      </c>
      <c r="X274" s="8">
        <v>241</v>
      </c>
      <c r="Y274" s="8">
        <v>731665.45568281878</v>
      </c>
      <c r="Z274" s="8">
        <v>45327.474317181273</v>
      </c>
    </row>
    <row r="275" spans="1:26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f t="shared" si="24"/>
        <v>0</v>
      </c>
      <c r="I275">
        <v>14</v>
      </c>
      <c r="J275">
        <v>88.1</v>
      </c>
      <c r="K275">
        <v>1.04</v>
      </c>
      <c r="L275">
        <v>0</v>
      </c>
      <c r="M275">
        <v>3.1</v>
      </c>
      <c r="N275">
        <v>561597.32999999996</v>
      </c>
      <c r="O275">
        <v>75072.75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0</v>
      </c>
      <c r="T275">
        <f t="shared" si="29"/>
        <v>1</v>
      </c>
      <c r="X275" s="8">
        <v>242</v>
      </c>
      <c r="Y275" s="8">
        <v>650349.96772853832</v>
      </c>
      <c r="Z275" s="8">
        <v>25987.44227146171</v>
      </c>
    </row>
    <row r="276" spans="1:26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f t="shared" si="24"/>
        <v>0</v>
      </c>
      <c r="I276">
        <v>17</v>
      </c>
      <c r="J276">
        <v>89.8</v>
      </c>
      <c r="K276">
        <v>1.76</v>
      </c>
      <c r="L276">
        <v>0</v>
      </c>
      <c r="M276">
        <v>3.1</v>
      </c>
      <c r="N276">
        <v>635837.74</v>
      </c>
      <c r="O276">
        <v>114740.64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0</v>
      </c>
      <c r="T276">
        <f t="shared" si="29"/>
        <v>1</v>
      </c>
      <c r="X276" s="8">
        <v>243</v>
      </c>
      <c r="Y276" s="8">
        <v>811918.35845141532</v>
      </c>
      <c r="Z276" s="8">
        <v>16301.311548584723</v>
      </c>
    </row>
    <row r="277" spans="1:26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f t="shared" si="24"/>
        <v>0</v>
      </c>
      <c r="I277">
        <v>18</v>
      </c>
      <c r="J277">
        <v>77.599999999999994</v>
      </c>
      <c r="K277">
        <v>2.86</v>
      </c>
      <c r="L277">
        <v>0</v>
      </c>
      <c r="M277">
        <v>3</v>
      </c>
      <c r="N277">
        <v>686737.87</v>
      </c>
      <c r="O277">
        <v>83839.67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0</v>
      </c>
      <c r="T277">
        <f t="shared" si="29"/>
        <v>1</v>
      </c>
      <c r="X277" s="8">
        <v>244</v>
      </c>
      <c r="Y277" s="8">
        <v>736566.99475477391</v>
      </c>
      <c r="Z277" s="8">
        <v>26592.925245226128</v>
      </c>
    </row>
    <row r="278" spans="1:26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f t="shared" si="24"/>
        <v>0</v>
      </c>
      <c r="I278">
        <v>17</v>
      </c>
      <c r="J278">
        <v>87.4</v>
      </c>
      <c r="K278">
        <v>18.14</v>
      </c>
      <c r="L278">
        <v>1</v>
      </c>
      <c r="M278">
        <v>3.4</v>
      </c>
      <c r="N278">
        <v>673076.34</v>
      </c>
      <c r="O278">
        <v>93899.76</v>
      </c>
      <c r="P278">
        <f t="shared" si="25"/>
        <v>1</v>
      </c>
      <c r="Q278">
        <f t="shared" si="26"/>
        <v>0</v>
      </c>
      <c r="R278">
        <f t="shared" si="27"/>
        <v>1</v>
      </c>
      <c r="S278">
        <f t="shared" si="28"/>
        <v>0</v>
      </c>
      <c r="T278">
        <f t="shared" si="29"/>
        <v>0</v>
      </c>
      <c r="X278" s="8">
        <v>245</v>
      </c>
      <c r="Y278" s="8">
        <v>786627.70108776761</v>
      </c>
      <c r="Z278" s="8">
        <v>15373.978912232444</v>
      </c>
    </row>
    <row r="279" spans="1:26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f t="shared" si="24"/>
        <v>0</v>
      </c>
      <c r="I279">
        <v>19</v>
      </c>
      <c r="J279">
        <v>88.7</v>
      </c>
      <c r="K279">
        <v>3.39</v>
      </c>
      <c r="L279">
        <v>0</v>
      </c>
      <c r="M279">
        <v>4</v>
      </c>
      <c r="N279">
        <v>738548.42</v>
      </c>
      <c r="O279">
        <v>134282.76999999999</v>
      </c>
      <c r="P279">
        <f t="shared" si="25"/>
        <v>1</v>
      </c>
      <c r="Q279">
        <f t="shared" si="26"/>
        <v>0</v>
      </c>
      <c r="R279">
        <f t="shared" si="27"/>
        <v>1</v>
      </c>
      <c r="S279">
        <f t="shared" si="28"/>
        <v>0</v>
      </c>
      <c r="T279">
        <f t="shared" si="29"/>
        <v>0</v>
      </c>
      <c r="X279" s="8">
        <v>246</v>
      </c>
      <c r="Y279" s="8">
        <v>754817.02692996245</v>
      </c>
      <c r="Z279" s="8">
        <v>-4345.6869299624814</v>
      </c>
    </row>
    <row r="280" spans="1:26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f t="shared" si="24"/>
        <v>0</v>
      </c>
      <c r="I280">
        <v>18</v>
      </c>
      <c r="J280">
        <v>86.5</v>
      </c>
      <c r="K280">
        <v>1.44</v>
      </c>
      <c r="L280">
        <v>0</v>
      </c>
      <c r="M280">
        <v>3.9</v>
      </c>
      <c r="N280">
        <v>756619.77</v>
      </c>
      <c r="O280">
        <v>112057.69</v>
      </c>
      <c r="P280">
        <f t="shared" si="25"/>
        <v>1</v>
      </c>
      <c r="Q280">
        <f t="shared" si="26"/>
        <v>0</v>
      </c>
      <c r="R280">
        <f t="shared" si="27"/>
        <v>1</v>
      </c>
      <c r="S280">
        <f t="shared" si="28"/>
        <v>0</v>
      </c>
      <c r="T280">
        <f t="shared" si="29"/>
        <v>0</v>
      </c>
      <c r="X280" s="8">
        <v>247</v>
      </c>
      <c r="Y280" s="8">
        <v>701064.68065494066</v>
      </c>
      <c r="Z280" s="8">
        <v>-21833.820654940675</v>
      </c>
    </row>
    <row r="281" spans="1:26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f t="shared" si="24"/>
        <v>0</v>
      </c>
      <c r="I281">
        <v>23</v>
      </c>
      <c r="J281">
        <v>87</v>
      </c>
      <c r="K281">
        <v>3.65</v>
      </c>
      <c r="L281">
        <v>0</v>
      </c>
      <c r="M281">
        <v>3.7</v>
      </c>
      <c r="N281">
        <v>761122.42</v>
      </c>
      <c r="O281">
        <v>149802.04</v>
      </c>
      <c r="P281">
        <f t="shared" si="25"/>
        <v>1</v>
      </c>
      <c r="Q281">
        <f t="shared" si="26"/>
        <v>0</v>
      </c>
      <c r="R281">
        <f t="shared" si="27"/>
        <v>1</v>
      </c>
      <c r="S281">
        <f t="shared" si="28"/>
        <v>0</v>
      </c>
      <c r="T281">
        <f t="shared" si="29"/>
        <v>0</v>
      </c>
      <c r="X281" s="8">
        <v>248</v>
      </c>
      <c r="Y281" s="8">
        <v>684097.90305379964</v>
      </c>
      <c r="Z281" s="8">
        <v>-4209.1630537996534</v>
      </c>
    </row>
    <row r="282" spans="1:26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f t="shared" si="24"/>
        <v>0</v>
      </c>
      <c r="I282">
        <v>10</v>
      </c>
      <c r="J282">
        <v>83</v>
      </c>
      <c r="K282">
        <v>1.23</v>
      </c>
      <c r="L282">
        <v>1</v>
      </c>
      <c r="M282">
        <v>3.8</v>
      </c>
      <c r="N282">
        <v>524899.56999999995</v>
      </c>
      <c r="O282">
        <v>63619.98</v>
      </c>
      <c r="P282">
        <f t="shared" si="25"/>
        <v>1</v>
      </c>
      <c r="Q282">
        <f t="shared" si="26"/>
        <v>0</v>
      </c>
      <c r="R282">
        <f t="shared" si="27"/>
        <v>0</v>
      </c>
      <c r="S282">
        <f t="shared" si="28"/>
        <v>0</v>
      </c>
      <c r="T282">
        <f t="shared" si="29"/>
        <v>1</v>
      </c>
      <c r="X282" s="8">
        <v>249</v>
      </c>
      <c r="Y282" s="8">
        <v>571951.74652953132</v>
      </c>
      <c r="Z282" s="8">
        <v>34831.923470468726</v>
      </c>
    </row>
    <row r="283" spans="1:26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f t="shared" si="24"/>
        <v>0</v>
      </c>
      <c r="I283">
        <v>15</v>
      </c>
      <c r="J283">
        <v>87.9</v>
      </c>
      <c r="K283">
        <v>3.09</v>
      </c>
      <c r="L283">
        <v>0</v>
      </c>
      <c r="M283">
        <v>4</v>
      </c>
      <c r="N283">
        <v>555557.77</v>
      </c>
      <c r="O283">
        <v>86475.51</v>
      </c>
      <c r="P283">
        <f t="shared" si="25"/>
        <v>1</v>
      </c>
      <c r="Q283">
        <f t="shared" si="26"/>
        <v>0</v>
      </c>
      <c r="R283">
        <f t="shared" si="27"/>
        <v>0</v>
      </c>
      <c r="S283">
        <f t="shared" si="28"/>
        <v>0</v>
      </c>
      <c r="T283">
        <f t="shared" si="29"/>
        <v>1</v>
      </c>
      <c r="X283" s="8">
        <v>250</v>
      </c>
      <c r="Y283" s="8">
        <v>682441.29505928315</v>
      </c>
      <c r="Z283" s="8">
        <v>-39689.875059283106</v>
      </c>
    </row>
    <row r="284" spans="1:26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f t="shared" si="24"/>
        <v>0</v>
      </c>
      <c r="I284">
        <v>17</v>
      </c>
      <c r="J284">
        <v>95.8</v>
      </c>
      <c r="K284">
        <v>3.15</v>
      </c>
      <c r="L284">
        <v>0</v>
      </c>
      <c r="M284">
        <v>4</v>
      </c>
      <c r="N284">
        <v>714083.68</v>
      </c>
      <c r="O284">
        <v>127231.74</v>
      </c>
      <c r="P284">
        <f t="shared" si="25"/>
        <v>1</v>
      </c>
      <c r="Q284">
        <f t="shared" si="26"/>
        <v>0</v>
      </c>
      <c r="R284">
        <f t="shared" si="27"/>
        <v>0</v>
      </c>
      <c r="S284">
        <f t="shared" si="28"/>
        <v>0</v>
      </c>
      <c r="T284">
        <f t="shared" si="29"/>
        <v>1</v>
      </c>
      <c r="X284" s="8">
        <v>251</v>
      </c>
      <c r="Y284" s="8">
        <v>640117.59736133472</v>
      </c>
      <c r="Z284" s="8">
        <v>7836.182638665312</v>
      </c>
    </row>
    <row r="285" spans="1:26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f t="shared" si="24"/>
        <v>0</v>
      </c>
      <c r="I285">
        <v>11</v>
      </c>
      <c r="J285">
        <v>80.900000000000006</v>
      </c>
      <c r="K285">
        <v>6.44</v>
      </c>
      <c r="L285">
        <v>0</v>
      </c>
      <c r="M285">
        <v>4.2</v>
      </c>
      <c r="N285">
        <v>497439.82</v>
      </c>
      <c r="O285">
        <v>93372.75</v>
      </c>
      <c r="P285">
        <f t="shared" si="25"/>
        <v>1</v>
      </c>
      <c r="Q285">
        <f t="shared" si="26"/>
        <v>0</v>
      </c>
      <c r="R285">
        <f t="shared" si="27"/>
        <v>0</v>
      </c>
      <c r="S285">
        <f t="shared" si="28"/>
        <v>0</v>
      </c>
      <c r="T285">
        <f t="shared" si="29"/>
        <v>1</v>
      </c>
      <c r="X285" s="8">
        <v>252</v>
      </c>
      <c r="Y285" s="8">
        <v>740711.70623059338</v>
      </c>
      <c r="Z285" s="8">
        <v>-11271.256230593426</v>
      </c>
    </row>
    <row r="286" spans="1:26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f t="shared" si="24"/>
        <v>0</v>
      </c>
      <c r="I286">
        <v>13</v>
      </c>
      <c r="J286">
        <v>86.3</v>
      </c>
      <c r="K286">
        <v>0.2</v>
      </c>
      <c r="L286">
        <v>1</v>
      </c>
      <c r="M286">
        <v>4.5</v>
      </c>
      <c r="N286">
        <v>636775.66</v>
      </c>
      <c r="O286">
        <v>122636.86</v>
      </c>
      <c r="P286">
        <f t="shared" si="25"/>
        <v>0</v>
      </c>
      <c r="Q286">
        <f t="shared" si="26"/>
        <v>0</v>
      </c>
      <c r="R286">
        <f t="shared" si="27"/>
        <v>1</v>
      </c>
      <c r="S286">
        <f t="shared" si="28"/>
        <v>0</v>
      </c>
      <c r="T286">
        <f t="shared" si="29"/>
        <v>0</v>
      </c>
      <c r="X286" s="8">
        <v>253</v>
      </c>
      <c r="Y286" s="8">
        <v>723006.77183124656</v>
      </c>
      <c r="Z286" s="8">
        <v>41942.228168753441</v>
      </c>
    </row>
    <row r="287" spans="1:26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f t="shared" si="24"/>
        <v>0</v>
      </c>
      <c r="I287">
        <v>10</v>
      </c>
      <c r="J287">
        <v>90.4</v>
      </c>
      <c r="K287">
        <v>0.59</v>
      </c>
      <c r="L287">
        <v>0</v>
      </c>
      <c r="M287">
        <v>4.5</v>
      </c>
      <c r="N287">
        <v>633009.53</v>
      </c>
      <c r="O287">
        <v>123782.67</v>
      </c>
      <c r="P287">
        <f t="shared" si="25"/>
        <v>0</v>
      </c>
      <c r="Q287">
        <f t="shared" si="26"/>
        <v>0</v>
      </c>
      <c r="R287">
        <f t="shared" si="27"/>
        <v>1</v>
      </c>
      <c r="S287">
        <f t="shared" si="28"/>
        <v>0</v>
      </c>
      <c r="T287">
        <f t="shared" si="29"/>
        <v>0</v>
      </c>
      <c r="X287" s="8">
        <v>254</v>
      </c>
      <c r="Y287" s="8">
        <v>702806.55418291385</v>
      </c>
      <c r="Z287" s="8">
        <v>96240.385817086091</v>
      </c>
    </row>
    <row r="288" spans="1:26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f t="shared" si="24"/>
        <v>0</v>
      </c>
      <c r="I288">
        <v>11</v>
      </c>
      <c r="J288">
        <v>92</v>
      </c>
      <c r="K288">
        <v>0.2</v>
      </c>
      <c r="L288">
        <v>1</v>
      </c>
      <c r="M288">
        <v>4.2</v>
      </c>
      <c r="N288">
        <v>609949</v>
      </c>
      <c r="O288">
        <v>126789.25</v>
      </c>
      <c r="P288">
        <f t="shared" si="25"/>
        <v>0</v>
      </c>
      <c r="Q288">
        <f t="shared" si="26"/>
        <v>0</v>
      </c>
      <c r="R288">
        <f t="shared" si="27"/>
        <v>1</v>
      </c>
      <c r="S288">
        <f t="shared" si="28"/>
        <v>0</v>
      </c>
      <c r="T288">
        <f t="shared" si="29"/>
        <v>0</v>
      </c>
      <c r="X288" s="8">
        <v>255</v>
      </c>
      <c r="Y288" s="8">
        <v>676757.46870179777</v>
      </c>
      <c r="Z288" s="8">
        <v>43322.071298202267</v>
      </c>
    </row>
    <row r="289" spans="1:26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f t="shared" si="24"/>
        <v>0</v>
      </c>
      <c r="I289">
        <v>13</v>
      </c>
      <c r="J289">
        <v>82.4</v>
      </c>
      <c r="K289">
        <v>1.36</v>
      </c>
      <c r="L289">
        <v>0</v>
      </c>
      <c r="M289">
        <v>4.8</v>
      </c>
      <c r="N289">
        <v>548103.69999999995</v>
      </c>
      <c r="O289">
        <v>99905.52</v>
      </c>
      <c r="P289">
        <f t="shared" si="25"/>
        <v>0</v>
      </c>
      <c r="Q289">
        <f t="shared" si="26"/>
        <v>0</v>
      </c>
      <c r="R289">
        <f t="shared" si="27"/>
        <v>1</v>
      </c>
      <c r="S289">
        <f t="shared" si="28"/>
        <v>0</v>
      </c>
      <c r="T289">
        <f t="shared" si="29"/>
        <v>0</v>
      </c>
      <c r="X289" s="8">
        <v>256</v>
      </c>
      <c r="Y289" s="8">
        <v>642802.85239896912</v>
      </c>
      <c r="Z289" s="8">
        <v>-30412.712398969103</v>
      </c>
    </row>
    <row r="290" spans="1:26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f t="shared" si="24"/>
        <v>0</v>
      </c>
      <c r="I290">
        <v>23</v>
      </c>
      <c r="J290">
        <v>72.900000000000006</v>
      </c>
      <c r="K290">
        <v>3.34</v>
      </c>
      <c r="L290">
        <v>0</v>
      </c>
      <c r="M290">
        <v>3.7</v>
      </c>
      <c r="N290">
        <v>729424.42</v>
      </c>
      <c r="O290">
        <v>75592.28</v>
      </c>
      <c r="P290">
        <f t="shared" si="25"/>
        <v>0</v>
      </c>
      <c r="Q290">
        <f t="shared" si="26"/>
        <v>1</v>
      </c>
      <c r="R290">
        <f t="shared" si="27"/>
        <v>1</v>
      </c>
      <c r="S290">
        <f t="shared" si="28"/>
        <v>0</v>
      </c>
      <c r="T290">
        <f t="shared" si="29"/>
        <v>0</v>
      </c>
      <c r="X290" s="8">
        <v>257</v>
      </c>
      <c r="Y290" s="8">
        <v>750637.56305120292</v>
      </c>
      <c r="Z290" s="8">
        <v>89470.556948797079</v>
      </c>
    </row>
    <row r="291" spans="1:26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f t="shared" si="24"/>
        <v>0</v>
      </c>
      <c r="I291">
        <v>22</v>
      </c>
      <c r="J291">
        <v>89</v>
      </c>
      <c r="K291">
        <v>0.33</v>
      </c>
      <c r="L291">
        <v>0</v>
      </c>
      <c r="M291">
        <v>4</v>
      </c>
      <c r="N291">
        <v>696261.49</v>
      </c>
      <c r="O291">
        <v>72455.350000000006</v>
      </c>
      <c r="P291">
        <f t="shared" si="25"/>
        <v>0</v>
      </c>
      <c r="Q291">
        <f t="shared" si="26"/>
        <v>1</v>
      </c>
      <c r="R291">
        <f t="shared" si="27"/>
        <v>1</v>
      </c>
      <c r="S291">
        <f t="shared" si="28"/>
        <v>0</v>
      </c>
      <c r="T291">
        <f t="shared" si="29"/>
        <v>0</v>
      </c>
      <c r="X291" s="8">
        <v>258</v>
      </c>
      <c r="Y291" s="8">
        <v>683946.79219456192</v>
      </c>
      <c r="Z291" s="8">
        <v>13941.297805438051</v>
      </c>
    </row>
    <row r="292" spans="1:26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f t="shared" si="24"/>
        <v>0</v>
      </c>
      <c r="I292">
        <v>21</v>
      </c>
      <c r="J292">
        <v>83.2</v>
      </c>
      <c r="K292">
        <v>3.44</v>
      </c>
      <c r="L292">
        <v>1</v>
      </c>
      <c r="M292">
        <v>4.3</v>
      </c>
      <c r="N292">
        <v>813316.71</v>
      </c>
      <c r="O292">
        <v>110077.42</v>
      </c>
      <c r="P292">
        <f t="shared" si="25"/>
        <v>0</v>
      </c>
      <c r="Q292">
        <f t="shared" si="26"/>
        <v>1</v>
      </c>
      <c r="R292">
        <f t="shared" si="27"/>
        <v>1</v>
      </c>
      <c r="S292">
        <f t="shared" si="28"/>
        <v>0</v>
      </c>
      <c r="T292">
        <f t="shared" si="29"/>
        <v>0</v>
      </c>
      <c r="X292" s="8">
        <v>259</v>
      </c>
      <c r="Y292" s="8">
        <v>734386.94874923991</v>
      </c>
      <c r="Z292" s="8">
        <v>11728.641250760062</v>
      </c>
    </row>
    <row r="293" spans="1:26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f t="shared" si="24"/>
        <v>0</v>
      </c>
      <c r="I293">
        <v>15</v>
      </c>
      <c r="J293">
        <v>97</v>
      </c>
      <c r="K293">
        <v>5.33</v>
      </c>
      <c r="L293">
        <v>0</v>
      </c>
      <c r="M293">
        <v>4.0999999999999996</v>
      </c>
      <c r="N293">
        <v>702068.92</v>
      </c>
      <c r="O293">
        <v>111266.63</v>
      </c>
      <c r="P293">
        <f t="shared" si="25"/>
        <v>0</v>
      </c>
      <c r="Q293">
        <f t="shared" si="26"/>
        <v>1</v>
      </c>
      <c r="R293">
        <f t="shared" si="27"/>
        <v>1</v>
      </c>
      <c r="S293">
        <f t="shared" si="28"/>
        <v>0</v>
      </c>
      <c r="T293">
        <f t="shared" si="29"/>
        <v>0</v>
      </c>
      <c r="X293" s="8">
        <v>260</v>
      </c>
      <c r="Y293" s="8">
        <v>713233.32204770308</v>
      </c>
      <c r="Z293" s="8">
        <v>62876.997952296864</v>
      </c>
    </row>
    <row r="294" spans="1:26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f t="shared" si="24"/>
        <v>0</v>
      </c>
      <c r="I294">
        <v>8</v>
      </c>
      <c r="J294">
        <v>86.7</v>
      </c>
      <c r="K294">
        <v>6.04</v>
      </c>
      <c r="L294">
        <v>0</v>
      </c>
      <c r="M294">
        <v>4.5</v>
      </c>
      <c r="N294">
        <v>546223.69999999995</v>
      </c>
      <c r="O294">
        <v>100769.17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0</v>
      </c>
      <c r="T294">
        <f t="shared" si="29"/>
        <v>1</v>
      </c>
      <c r="X294" s="8">
        <v>261</v>
      </c>
      <c r="Y294" s="8">
        <v>514385.23105076078</v>
      </c>
      <c r="Z294" s="8">
        <v>14467.388949239219</v>
      </c>
    </row>
    <row r="295" spans="1:26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f t="shared" si="24"/>
        <v>0</v>
      </c>
      <c r="I295">
        <v>9</v>
      </c>
      <c r="J295">
        <v>88.7</v>
      </c>
      <c r="K295">
        <v>1.6</v>
      </c>
      <c r="L295">
        <v>0</v>
      </c>
      <c r="M295">
        <v>4.2</v>
      </c>
      <c r="N295">
        <v>533121.26</v>
      </c>
      <c r="O295">
        <v>55063.39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0</v>
      </c>
      <c r="T295">
        <f t="shared" si="29"/>
        <v>1</v>
      </c>
      <c r="X295" s="8">
        <v>262</v>
      </c>
      <c r="Y295" s="8">
        <v>601975.95007775049</v>
      </c>
      <c r="Z295" s="8">
        <v>3775.3799222494708</v>
      </c>
    </row>
    <row r="296" spans="1:26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f t="shared" si="24"/>
        <v>0</v>
      </c>
      <c r="I296">
        <v>10</v>
      </c>
      <c r="J296">
        <v>84.8</v>
      </c>
      <c r="K296">
        <v>8.9600000000000009</v>
      </c>
      <c r="L296">
        <v>0</v>
      </c>
      <c r="M296">
        <v>4.7</v>
      </c>
      <c r="N296">
        <v>498970.32</v>
      </c>
      <c r="O296">
        <v>69656.7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0</v>
      </c>
      <c r="T296">
        <f t="shared" si="29"/>
        <v>1</v>
      </c>
      <c r="X296" s="8">
        <v>263</v>
      </c>
      <c r="Y296" s="8">
        <v>622565.60003430548</v>
      </c>
      <c r="Z296" s="8">
        <v>55075.049965694547</v>
      </c>
    </row>
    <row r="297" spans="1:26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f t="shared" si="24"/>
        <v>0</v>
      </c>
      <c r="I297">
        <v>9</v>
      </c>
      <c r="J297">
        <v>81</v>
      </c>
      <c r="K297">
        <v>0.74</v>
      </c>
      <c r="L297">
        <v>0</v>
      </c>
      <c r="M297">
        <v>4.5999999999999996</v>
      </c>
      <c r="N297">
        <v>487738.26</v>
      </c>
      <c r="O297">
        <v>96435.6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0</v>
      </c>
      <c r="T297">
        <f t="shared" si="29"/>
        <v>1</v>
      </c>
      <c r="X297" s="8">
        <v>264</v>
      </c>
      <c r="Y297" s="8">
        <v>589552.37038637383</v>
      </c>
      <c r="Z297" s="8">
        <v>47060.859613626148</v>
      </c>
    </row>
    <row r="298" spans="1:26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f t="shared" si="24"/>
        <v>0</v>
      </c>
      <c r="I298">
        <v>12</v>
      </c>
      <c r="J298">
        <v>93.1</v>
      </c>
      <c r="K298">
        <v>6.13</v>
      </c>
      <c r="L298">
        <v>0</v>
      </c>
      <c r="M298">
        <v>3.3</v>
      </c>
      <c r="N298">
        <v>668459.37</v>
      </c>
      <c r="O298">
        <v>126435.42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0</v>
      </c>
      <c r="T298">
        <f t="shared" si="29"/>
        <v>1</v>
      </c>
      <c r="X298" s="8">
        <v>265</v>
      </c>
      <c r="Y298" s="8">
        <v>711523.77769299841</v>
      </c>
      <c r="Z298" s="8">
        <v>-2538.5876929984661</v>
      </c>
    </row>
    <row r="299" spans="1:26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f t="shared" si="24"/>
        <v>0</v>
      </c>
      <c r="I299">
        <v>14</v>
      </c>
      <c r="J299">
        <v>96.2</v>
      </c>
      <c r="K299">
        <v>1.41</v>
      </c>
      <c r="L299">
        <v>0</v>
      </c>
      <c r="M299">
        <v>3.3</v>
      </c>
      <c r="N299">
        <v>763162.45</v>
      </c>
      <c r="O299">
        <v>162524.04999999999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0</v>
      </c>
      <c r="T299">
        <f t="shared" si="29"/>
        <v>1</v>
      </c>
      <c r="X299" s="8">
        <v>266</v>
      </c>
      <c r="Y299" s="8">
        <v>744392.92070327303</v>
      </c>
      <c r="Z299" s="8">
        <v>23400.01929672691</v>
      </c>
    </row>
    <row r="300" spans="1:26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f t="shared" si="24"/>
        <v>0</v>
      </c>
      <c r="I300">
        <v>11</v>
      </c>
      <c r="J300">
        <v>91.7</v>
      </c>
      <c r="K300">
        <v>3.75</v>
      </c>
      <c r="L300">
        <v>0</v>
      </c>
      <c r="M300">
        <v>3.1</v>
      </c>
      <c r="N300">
        <v>599017.32999999996</v>
      </c>
      <c r="O300">
        <v>134009.92000000001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0</v>
      </c>
      <c r="T300">
        <f t="shared" si="29"/>
        <v>1</v>
      </c>
      <c r="X300" s="8">
        <v>267</v>
      </c>
      <c r="Y300" s="8">
        <v>723685.43270540331</v>
      </c>
      <c r="Z300" s="8">
        <v>21895.077294596704</v>
      </c>
    </row>
    <row r="301" spans="1:26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f t="shared" si="24"/>
        <v>0</v>
      </c>
      <c r="I301">
        <v>6</v>
      </c>
      <c r="J301">
        <v>89.3</v>
      </c>
      <c r="K301">
        <v>15.06</v>
      </c>
      <c r="L301">
        <v>0</v>
      </c>
      <c r="M301">
        <v>3.2</v>
      </c>
      <c r="N301">
        <v>401582.58</v>
      </c>
      <c r="O301">
        <v>68454.929999999993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0</v>
      </c>
      <c r="T301">
        <f t="shared" si="29"/>
        <v>1</v>
      </c>
      <c r="X301" s="8">
        <v>268</v>
      </c>
      <c r="Y301" s="8">
        <v>724623.86995642749</v>
      </c>
      <c r="Z301" s="8">
        <v>37704.440043572569</v>
      </c>
    </row>
    <row r="302" spans="1:26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f t="shared" si="24"/>
        <v>1</v>
      </c>
      <c r="I302">
        <v>22</v>
      </c>
      <c r="J302">
        <v>88.2</v>
      </c>
      <c r="K302">
        <v>5.07</v>
      </c>
      <c r="L302">
        <v>1</v>
      </c>
      <c r="M302">
        <v>4.0999999999999996</v>
      </c>
      <c r="N302">
        <v>703812.99</v>
      </c>
      <c r="O302">
        <v>133577.98000000001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1</v>
      </c>
      <c r="T302">
        <f t="shared" si="29"/>
        <v>0</v>
      </c>
      <c r="X302" s="8">
        <v>269</v>
      </c>
      <c r="Y302" s="8">
        <v>723322.78758485196</v>
      </c>
      <c r="Z302" s="8">
        <v>-62688.797584851971</v>
      </c>
    </row>
    <row r="303" spans="1:26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f t="shared" si="24"/>
        <v>1</v>
      </c>
      <c r="I303">
        <v>20</v>
      </c>
      <c r="J303">
        <v>83.3</v>
      </c>
      <c r="K303">
        <v>3.6</v>
      </c>
      <c r="L303">
        <v>0</v>
      </c>
      <c r="M303">
        <v>3.7</v>
      </c>
      <c r="N303">
        <v>724346.73</v>
      </c>
      <c r="O303">
        <v>155013.91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1</v>
      </c>
      <c r="T303">
        <f t="shared" si="29"/>
        <v>0</v>
      </c>
      <c r="X303" s="8">
        <v>270</v>
      </c>
      <c r="Y303" s="8">
        <v>691238.84154675831</v>
      </c>
      <c r="Z303" s="8">
        <v>48135.718453241745</v>
      </c>
    </row>
    <row r="304" spans="1:26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f t="shared" si="24"/>
        <v>1</v>
      </c>
      <c r="I304">
        <v>19</v>
      </c>
      <c r="J304">
        <v>87.3</v>
      </c>
      <c r="K304">
        <v>4.3899999999999997</v>
      </c>
      <c r="L304">
        <v>1</v>
      </c>
      <c r="M304">
        <v>4.7</v>
      </c>
      <c r="N304">
        <v>730890.01</v>
      </c>
      <c r="O304">
        <v>105502.56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1</v>
      </c>
      <c r="T304">
        <f t="shared" si="29"/>
        <v>0</v>
      </c>
      <c r="X304" s="8">
        <v>271</v>
      </c>
      <c r="Y304" s="8">
        <v>801779.81888193451</v>
      </c>
      <c r="Z304" s="8">
        <v>-2023.3588819345459</v>
      </c>
    </row>
    <row r="305" spans="1:26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f t="shared" si="24"/>
        <v>1</v>
      </c>
      <c r="I305">
        <v>18</v>
      </c>
      <c r="J305">
        <v>93</v>
      </c>
      <c r="K305">
        <v>2.79</v>
      </c>
      <c r="L305">
        <v>0</v>
      </c>
      <c r="M305">
        <v>4.2</v>
      </c>
      <c r="N305">
        <v>780580.95</v>
      </c>
      <c r="O305">
        <v>138144.46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1</v>
      </c>
      <c r="T305">
        <f t="shared" si="29"/>
        <v>0</v>
      </c>
      <c r="X305" s="8">
        <v>272</v>
      </c>
      <c r="Y305" s="8">
        <v>680684.36595990846</v>
      </c>
      <c r="Z305" s="8">
        <v>-87341.365959908464</v>
      </c>
    </row>
    <row r="306" spans="1:26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f t="shared" si="24"/>
        <v>0</v>
      </c>
      <c r="I306">
        <v>14</v>
      </c>
      <c r="J306">
        <v>94.5</v>
      </c>
      <c r="K306">
        <v>1.56</v>
      </c>
      <c r="L306">
        <v>0</v>
      </c>
      <c r="M306">
        <v>4</v>
      </c>
      <c r="N306">
        <v>727957.48</v>
      </c>
      <c r="O306">
        <v>74805.23</v>
      </c>
      <c r="P306">
        <f t="shared" si="25"/>
        <v>1</v>
      </c>
      <c r="Q306">
        <f t="shared" si="26"/>
        <v>0</v>
      </c>
      <c r="R306">
        <f t="shared" si="27"/>
        <v>1</v>
      </c>
      <c r="S306">
        <f t="shared" si="28"/>
        <v>0</v>
      </c>
      <c r="T306">
        <f t="shared" si="29"/>
        <v>0</v>
      </c>
      <c r="X306" s="8">
        <v>273</v>
      </c>
      <c r="Y306" s="8">
        <v>650939.55684469535</v>
      </c>
      <c r="Z306" s="8">
        <v>-5899.5868446953828</v>
      </c>
    </row>
    <row r="307" spans="1:26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f t="shared" si="24"/>
        <v>0</v>
      </c>
      <c r="I307">
        <v>16</v>
      </c>
      <c r="J307">
        <v>86.9</v>
      </c>
      <c r="K307">
        <v>15.82</v>
      </c>
      <c r="L307">
        <v>0</v>
      </c>
      <c r="M307">
        <v>3.8</v>
      </c>
      <c r="N307">
        <v>538376</v>
      </c>
      <c r="O307">
        <v>87605.62</v>
      </c>
      <c r="P307">
        <f t="shared" si="25"/>
        <v>1</v>
      </c>
      <c r="Q307">
        <f t="shared" si="26"/>
        <v>0</v>
      </c>
      <c r="R307">
        <f t="shared" si="27"/>
        <v>1</v>
      </c>
      <c r="S307">
        <f t="shared" si="28"/>
        <v>0</v>
      </c>
      <c r="T307">
        <f t="shared" si="29"/>
        <v>0</v>
      </c>
      <c r="X307" s="8">
        <v>274</v>
      </c>
      <c r="Y307" s="8">
        <v>525563.14631629991</v>
      </c>
      <c r="Z307" s="8">
        <v>36034.183683700045</v>
      </c>
    </row>
    <row r="308" spans="1:26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f t="shared" si="24"/>
        <v>0</v>
      </c>
      <c r="I308">
        <v>14</v>
      </c>
      <c r="J308">
        <v>85.9</v>
      </c>
      <c r="K308">
        <v>1.17</v>
      </c>
      <c r="L308">
        <v>1</v>
      </c>
      <c r="M308">
        <v>3.7</v>
      </c>
      <c r="N308">
        <v>665342.49</v>
      </c>
      <c r="O308">
        <v>93441.81</v>
      </c>
      <c r="P308">
        <f t="shared" si="25"/>
        <v>1</v>
      </c>
      <c r="Q308">
        <f t="shared" si="26"/>
        <v>0</v>
      </c>
      <c r="R308">
        <f t="shared" si="27"/>
        <v>1</v>
      </c>
      <c r="S308">
        <f t="shared" si="28"/>
        <v>0</v>
      </c>
      <c r="T308">
        <f t="shared" si="29"/>
        <v>0</v>
      </c>
      <c r="X308" s="8">
        <v>275</v>
      </c>
      <c r="Y308" s="8">
        <v>642369.59342694015</v>
      </c>
      <c r="Z308" s="8">
        <v>-6531.8534269401571</v>
      </c>
    </row>
    <row r="309" spans="1:26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f t="shared" si="24"/>
        <v>0</v>
      </c>
      <c r="I309">
        <v>16</v>
      </c>
      <c r="J309">
        <v>99</v>
      </c>
      <c r="K309">
        <v>3.82</v>
      </c>
      <c r="L309">
        <v>0</v>
      </c>
      <c r="M309">
        <v>3.5</v>
      </c>
      <c r="N309">
        <v>651164.18000000005</v>
      </c>
      <c r="O309">
        <v>109466.5</v>
      </c>
      <c r="P309">
        <f t="shared" si="25"/>
        <v>1</v>
      </c>
      <c r="Q309">
        <f t="shared" si="26"/>
        <v>0</v>
      </c>
      <c r="R309">
        <f t="shared" si="27"/>
        <v>1</v>
      </c>
      <c r="S309">
        <f t="shared" si="28"/>
        <v>0</v>
      </c>
      <c r="T309">
        <f t="shared" si="29"/>
        <v>0</v>
      </c>
      <c r="X309" s="8">
        <v>276</v>
      </c>
      <c r="Y309" s="8">
        <v>626601.34619293839</v>
      </c>
      <c r="Z309" s="8">
        <v>60136.523807061603</v>
      </c>
    </row>
    <row r="310" spans="1:26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f t="shared" si="24"/>
        <v>0</v>
      </c>
      <c r="I310">
        <v>13</v>
      </c>
      <c r="J310">
        <v>87.5</v>
      </c>
      <c r="K310">
        <v>4.1399999999999997</v>
      </c>
      <c r="L310">
        <v>0</v>
      </c>
      <c r="M310">
        <v>4</v>
      </c>
      <c r="N310">
        <v>628538.30000000005</v>
      </c>
      <c r="O310">
        <v>112509.15</v>
      </c>
      <c r="P310">
        <f t="shared" si="25"/>
        <v>1</v>
      </c>
      <c r="Q310">
        <f t="shared" si="26"/>
        <v>0</v>
      </c>
      <c r="R310">
        <f t="shared" si="27"/>
        <v>0</v>
      </c>
      <c r="S310">
        <f t="shared" si="28"/>
        <v>0</v>
      </c>
      <c r="T310">
        <f t="shared" si="29"/>
        <v>1</v>
      </c>
      <c r="X310" s="8">
        <v>277</v>
      </c>
      <c r="Y310" s="8">
        <v>753036.14822009613</v>
      </c>
      <c r="Z310" s="8">
        <v>-79959.808220096165</v>
      </c>
    </row>
    <row r="311" spans="1:26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f t="shared" si="24"/>
        <v>0</v>
      </c>
      <c r="I311">
        <v>14</v>
      </c>
      <c r="J311">
        <v>79.7</v>
      </c>
      <c r="K311">
        <v>1.1000000000000001</v>
      </c>
      <c r="L311">
        <v>0</v>
      </c>
      <c r="M311">
        <v>4.3</v>
      </c>
      <c r="N311">
        <v>536524.84</v>
      </c>
      <c r="O311">
        <v>92752.94</v>
      </c>
      <c r="P311">
        <f t="shared" si="25"/>
        <v>1</v>
      </c>
      <c r="Q311">
        <f t="shared" si="26"/>
        <v>0</v>
      </c>
      <c r="R311">
        <f t="shared" si="27"/>
        <v>0</v>
      </c>
      <c r="S311">
        <f t="shared" si="28"/>
        <v>0</v>
      </c>
      <c r="T311">
        <f t="shared" si="29"/>
        <v>1</v>
      </c>
      <c r="X311" s="8">
        <v>278</v>
      </c>
      <c r="Y311" s="8">
        <v>717622.79818639765</v>
      </c>
      <c r="Z311" s="8">
        <v>20925.621813602396</v>
      </c>
    </row>
    <row r="312" spans="1:26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f t="shared" si="24"/>
        <v>0</v>
      </c>
      <c r="I312">
        <v>13</v>
      </c>
      <c r="J312">
        <v>85.7</v>
      </c>
      <c r="K312">
        <v>10.6</v>
      </c>
      <c r="L312">
        <v>0</v>
      </c>
      <c r="M312">
        <v>4.2</v>
      </c>
      <c r="N312">
        <v>621677.30000000005</v>
      </c>
      <c r="O312">
        <v>105192.52</v>
      </c>
      <c r="P312">
        <f t="shared" si="25"/>
        <v>1</v>
      </c>
      <c r="Q312">
        <f t="shared" si="26"/>
        <v>0</v>
      </c>
      <c r="R312">
        <f t="shared" si="27"/>
        <v>0</v>
      </c>
      <c r="S312">
        <f t="shared" si="28"/>
        <v>0</v>
      </c>
      <c r="T312">
        <f t="shared" si="29"/>
        <v>1</v>
      </c>
      <c r="X312" s="8">
        <v>279</v>
      </c>
      <c r="Y312" s="8">
        <v>756257.7182090003</v>
      </c>
      <c r="Z312" s="8">
        <v>362.05179099971429</v>
      </c>
    </row>
    <row r="313" spans="1:26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f t="shared" si="24"/>
        <v>0</v>
      </c>
      <c r="I313">
        <v>20</v>
      </c>
      <c r="J313">
        <v>89</v>
      </c>
      <c r="K313">
        <v>0.9</v>
      </c>
      <c r="L313">
        <v>0</v>
      </c>
      <c r="M313" s="4" t="s">
        <v>118</v>
      </c>
      <c r="N313">
        <v>771129.07</v>
      </c>
      <c r="O313">
        <v>116851.13</v>
      </c>
      <c r="P313">
        <f t="shared" si="25"/>
        <v>1</v>
      </c>
      <c r="Q313">
        <f t="shared" si="26"/>
        <v>0</v>
      </c>
      <c r="R313">
        <f t="shared" si="27"/>
        <v>0</v>
      </c>
      <c r="S313">
        <f t="shared" si="28"/>
        <v>0</v>
      </c>
      <c r="T313">
        <f t="shared" si="29"/>
        <v>1</v>
      </c>
      <c r="X313" s="8">
        <v>280</v>
      </c>
      <c r="Y313" s="8">
        <v>792118.07335520559</v>
      </c>
      <c r="Z313" s="8">
        <v>-30995.653355205548</v>
      </c>
    </row>
    <row r="314" spans="1:26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f t="shared" si="24"/>
        <v>1</v>
      </c>
      <c r="I314">
        <v>16</v>
      </c>
      <c r="J314">
        <v>85.5</v>
      </c>
      <c r="K314">
        <v>0.2</v>
      </c>
      <c r="L314">
        <v>0</v>
      </c>
      <c r="M314">
        <v>3.4</v>
      </c>
      <c r="N314">
        <v>702052.47</v>
      </c>
      <c r="O314">
        <v>121732.51</v>
      </c>
      <c r="P314">
        <f t="shared" si="25"/>
        <v>0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  <c r="X314" s="8">
        <v>281</v>
      </c>
      <c r="Y314" s="8">
        <v>588373.00325924356</v>
      </c>
      <c r="Z314" s="8">
        <v>-63473.433259243611</v>
      </c>
    </row>
    <row r="315" spans="1:26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f t="shared" si="24"/>
        <v>1</v>
      </c>
      <c r="I315">
        <v>18</v>
      </c>
      <c r="J315">
        <v>94.8</v>
      </c>
      <c r="K315">
        <v>4.67</v>
      </c>
      <c r="L315">
        <v>0</v>
      </c>
      <c r="M315" s="4" t="s">
        <v>118</v>
      </c>
      <c r="N315">
        <v>688368.46</v>
      </c>
      <c r="O315">
        <v>93588.42</v>
      </c>
      <c r="P315">
        <f t="shared" si="25"/>
        <v>0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  <c r="X315" s="8">
        <v>282</v>
      </c>
      <c r="Y315" s="8">
        <v>588546.73177163955</v>
      </c>
      <c r="Z315" s="8">
        <v>-32988.96177163953</v>
      </c>
    </row>
    <row r="316" spans="1:26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f t="shared" si="24"/>
        <v>1</v>
      </c>
      <c r="I316">
        <v>14</v>
      </c>
      <c r="J316">
        <v>98.2</v>
      </c>
      <c r="K316">
        <v>4.38</v>
      </c>
      <c r="L316">
        <v>1</v>
      </c>
      <c r="M316">
        <v>3.9</v>
      </c>
      <c r="N316">
        <v>712375.77</v>
      </c>
      <c r="O316">
        <v>104171.53</v>
      </c>
      <c r="P316">
        <f t="shared" si="25"/>
        <v>0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  <c r="X316" s="8">
        <v>283</v>
      </c>
      <c r="Y316" s="8">
        <v>668768.17562808364</v>
      </c>
      <c r="Z316" s="8">
        <v>45315.50437191641</v>
      </c>
    </row>
    <row r="317" spans="1:26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f t="shared" si="24"/>
        <v>1</v>
      </c>
      <c r="I317">
        <v>20</v>
      </c>
      <c r="J317">
        <v>94.7</v>
      </c>
      <c r="K317">
        <v>4.4800000000000004</v>
      </c>
      <c r="L317">
        <v>0</v>
      </c>
      <c r="M317">
        <v>4.2</v>
      </c>
      <c r="N317">
        <v>844710.67</v>
      </c>
      <c r="O317">
        <v>137140.18</v>
      </c>
      <c r="P317">
        <f t="shared" si="25"/>
        <v>0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  <c r="X317" s="8">
        <v>284</v>
      </c>
      <c r="Y317" s="8">
        <v>519473.37612025469</v>
      </c>
      <c r="Z317" s="8">
        <v>-22033.556120254681</v>
      </c>
    </row>
    <row r="318" spans="1:26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f t="shared" si="24"/>
        <v>0</v>
      </c>
      <c r="I318">
        <v>15</v>
      </c>
      <c r="J318">
        <v>92.9</v>
      </c>
      <c r="K318">
        <v>1.02</v>
      </c>
      <c r="L318">
        <v>1</v>
      </c>
      <c r="M318">
        <v>4</v>
      </c>
      <c r="N318">
        <v>620264.19999999995</v>
      </c>
      <c r="O318">
        <v>91365.64</v>
      </c>
      <c r="P318">
        <f t="shared" si="25"/>
        <v>0</v>
      </c>
      <c r="Q318">
        <f t="shared" si="26"/>
        <v>1</v>
      </c>
      <c r="R318">
        <f t="shared" si="27"/>
        <v>1</v>
      </c>
      <c r="S318">
        <f t="shared" si="28"/>
        <v>0</v>
      </c>
      <c r="T318">
        <f t="shared" si="29"/>
        <v>0</v>
      </c>
      <c r="X318" s="8">
        <v>285</v>
      </c>
      <c r="Y318" s="8">
        <v>661396.39235302049</v>
      </c>
      <c r="Z318" s="8">
        <v>-24620.732353020459</v>
      </c>
    </row>
    <row r="319" spans="1:26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f t="shared" si="24"/>
        <v>0</v>
      </c>
      <c r="I319">
        <v>11</v>
      </c>
      <c r="J319">
        <v>88</v>
      </c>
      <c r="K319">
        <v>0.2</v>
      </c>
      <c r="L319">
        <v>0</v>
      </c>
      <c r="M319">
        <v>3.8</v>
      </c>
      <c r="N319">
        <v>536845.42000000004</v>
      </c>
      <c r="O319">
        <v>107473.75</v>
      </c>
      <c r="P319">
        <f t="shared" si="25"/>
        <v>0</v>
      </c>
      <c r="Q319">
        <f t="shared" si="26"/>
        <v>1</v>
      </c>
      <c r="R319">
        <f t="shared" si="27"/>
        <v>1</v>
      </c>
      <c r="S319">
        <f t="shared" si="28"/>
        <v>0</v>
      </c>
      <c r="T319">
        <f t="shared" si="29"/>
        <v>0</v>
      </c>
      <c r="X319" s="8">
        <v>286</v>
      </c>
      <c r="Y319" s="8">
        <v>629872.53899886366</v>
      </c>
      <c r="Z319" s="8">
        <v>3136.9910011363681</v>
      </c>
    </row>
    <row r="320" spans="1:26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f t="shared" si="24"/>
        <v>0</v>
      </c>
      <c r="I320">
        <v>20</v>
      </c>
      <c r="J320">
        <v>85.2</v>
      </c>
      <c r="K320">
        <v>4.8899999999999997</v>
      </c>
      <c r="L320">
        <v>1</v>
      </c>
      <c r="M320">
        <v>4.2</v>
      </c>
      <c r="N320">
        <v>726776.22</v>
      </c>
      <c r="O320">
        <v>90804.49</v>
      </c>
      <c r="P320">
        <f t="shared" si="25"/>
        <v>0</v>
      </c>
      <c r="Q320">
        <f t="shared" si="26"/>
        <v>1</v>
      </c>
      <c r="R320">
        <f t="shared" si="27"/>
        <v>1</v>
      </c>
      <c r="S320">
        <f t="shared" si="28"/>
        <v>0</v>
      </c>
      <c r="T320">
        <f t="shared" si="29"/>
        <v>0</v>
      </c>
      <c r="X320" s="8">
        <v>287</v>
      </c>
      <c r="Y320" s="8">
        <v>593536.81135356112</v>
      </c>
      <c r="Z320" s="8">
        <v>16412.188646438881</v>
      </c>
    </row>
    <row r="321" spans="1:26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f t="shared" si="24"/>
        <v>0</v>
      </c>
      <c r="I321">
        <v>17</v>
      </c>
      <c r="J321">
        <v>84.3</v>
      </c>
      <c r="K321">
        <v>11.82</v>
      </c>
      <c r="L321">
        <v>0</v>
      </c>
      <c r="M321">
        <v>4.0999999999999996</v>
      </c>
      <c r="N321">
        <v>559660.84</v>
      </c>
      <c r="O321">
        <v>71443.61</v>
      </c>
      <c r="P321">
        <f t="shared" si="25"/>
        <v>0</v>
      </c>
      <c r="Q321">
        <f t="shared" si="26"/>
        <v>1</v>
      </c>
      <c r="R321">
        <f t="shared" si="27"/>
        <v>1</v>
      </c>
      <c r="S321">
        <f t="shared" si="28"/>
        <v>0</v>
      </c>
      <c r="T321">
        <f t="shared" si="29"/>
        <v>0</v>
      </c>
      <c r="X321" s="8">
        <v>288</v>
      </c>
      <c r="Y321" s="8">
        <v>575776.2734789059</v>
      </c>
      <c r="Z321" s="8">
        <v>-27672.57347890595</v>
      </c>
    </row>
    <row r="322" spans="1:26">
      <c r="X322" s="8">
        <v>289</v>
      </c>
      <c r="Y322" s="8">
        <v>746884.35082518519</v>
      </c>
      <c r="Z322" s="8">
        <v>-17459.930825185147</v>
      </c>
    </row>
    <row r="323" spans="1:26">
      <c r="X323" s="8">
        <v>290</v>
      </c>
      <c r="Y323" s="8">
        <v>721532.75407625013</v>
      </c>
      <c r="Z323" s="8">
        <v>-25271.26407625014</v>
      </c>
    </row>
    <row r="324" spans="1:26">
      <c r="X324" s="8">
        <v>291</v>
      </c>
      <c r="Y324" s="8">
        <v>747233.33487552626</v>
      </c>
      <c r="Z324" s="8">
        <v>66083.375124473707</v>
      </c>
    </row>
    <row r="325" spans="1:26">
      <c r="X325" s="8">
        <v>292</v>
      </c>
      <c r="Y325" s="8">
        <v>706299.70252680127</v>
      </c>
      <c r="Z325" s="8">
        <v>-4230.7825268012239</v>
      </c>
    </row>
    <row r="326" spans="1:26">
      <c r="X326" s="8">
        <v>293</v>
      </c>
      <c r="Y326" s="8">
        <v>586492.40084741137</v>
      </c>
      <c r="Z326" s="8">
        <v>-40268.700847411412</v>
      </c>
    </row>
    <row r="327" spans="1:26">
      <c r="X327" s="8">
        <v>294</v>
      </c>
      <c r="Y327" s="8">
        <v>521560.91265697085</v>
      </c>
      <c r="Z327" s="8">
        <v>11560.347343029163</v>
      </c>
    </row>
    <row r="328" spans="1:26">
      <c r="X328" s="8">
        <v>295</v>
      </c>
      <c r="Y328" s="8">
        <v>497553.51968560647</v>
      </c>
      <c r="Z328" s="8">
        <v>1416.8003143935348</v>
      </c>
    </row>
    <row r="329" spans="1:26">
      <c r="X329" s="8">
        <v>296</v>
      </c>
      <c r="Y329" s="8">
        <v>481318.38071780652</v>
      </c>
      <c r="Z329" s="8">
        <v>6419.8792821934912</v>
      </c>
    </row>
    <row r="330" spans="1:26">
      <c r="X330" s="8">
        <v>297</v>
      </c>
      <c r="Y330" s="8">
        <v>665017.06357538502</v>
      </c>
      <c r="Z330" s="8">
        <v>3442.3064246149734</v>
      </c>
    </row>
    <row r="331" spans="1:26">
      <c r="X331" s="8">
        <v>298</v>
      </c>
      <c r="Y331" s="8">
        <v>659230.93100195203</v>
      </c>
      <c r="Z331" s="8">
        <v>103931.51899804792</v>
      </c>
    </row>
    <row r="332" spans="1:26">
      <c r="X332" s="8">
        <v>299</v>
      </c>
      <c r="Y332" s="8">
        <v>613987.51811189053</v>
      </c>
      <c r="Z332" s="8">
        <v>-14970.188111890573</v>
      </c>
    </row>
    <row r="333" spans="1:26">
      <c r="X333" s="8">
        <v>300</v>
      </c>
      <c r="Y333" s="8">
        <v>473961.75006543595</v>
      </c>
      <c r="Z333" s="8">
        <v>-72379.17006543593</v>
      </c>
    </row>
    <row r="334" spans="1:26">
      <c r="X334" s="8">
        <v>301</v>
      </c>
      <c r="Y334" s="8">
        <v>719150.64029943664</v>
      </c>
      <c r="Z334" s="8">
        <v>-15337.650299436646</v>
      </c>
    </row>
    <row r="335" spans="1:26">
      <c r="X335" s="8">
        <v>302</v>
      </c>
      <c r="Y335" s="8">
        <v>742620.9579261007</v>
      </c>
      <c r="Z335" s="8">
        <v>-18274.227926100721</v>
      </c>
    </row>
    <row r="336" spans="1:26">
      <c r="X336" s="8">
        <v>303</v>
      </c>
      <c r="Y336" s="8">
        <v>733704.40401821979</v>
      </c>
      <c r="Z336" s="8">
        <v>-2814.3940182197839</v>
      </c>
    </row>
    <row r="337" spans="24:26">
      <c r="X337" s="8">
        <v>304</v>
      </c>
      <c r="Y337" s="8">
        <v>702004.27839116089</v>
      </c>
      <c r="Z337" s="8">
        <v>78576.671608839068</v>
      </c>
    </row>
    <row r="338" spans="24:26">
      <c r="X338" s="8">
        <v>305</v>
      </c>
      <c r="Y338" s="8">
        <v>672563.27410002123</v>
      </c>
      <c r="Z338" s="8">
        <v>55394.205899978755</v>
      </c>
    </row>
    <row r="339" spans="24:26">
      <c r="X339" s="8">
        <v>306</v>
      </c>
      <c r="Y339" s="8">
        <v>650295.04839782824</v>
      </c>
      <c r="Z339" s="8">
        <v>-111919.04839782824</v>
      </c>
    </row>
    <row r="340" spans="24:26">
      <c r="X340" s="8">
        <v>307</v>
      </c>
      <c r="Y340" s="8">
        <v>631342.27966152376</v>
      </c>
      <c r="Z340" s="8">
        <v>34000.21033847623</v>
      </c>
    </row>
    <row r="341" spans="24:26">
      <c r="X341" s="8">
        <v>308</v>
      </c>
      <c r="Y341" s="8">
        <v>684132.41951882164</v>
      </c>
      <c r="Z341" s="8">
        <v>-32968.239518821589</v>
      </c>
    </row>
    <row r="342" spans="24:26">
      <c r="X342" s="8">
        <v>309</v>
      </c>
      <c r="Y342" s="8">
        <v>641863.5994153854</v>
      </c>
      <c r="Z342" s="8">
        <v>-13325.299415385351</v>
      </c>
    </row>
    <row r="343" spans="24:26">
      <c r="X343" s="8">
        <v>310</v>
      </c>
      <c r="Y343" s="8">
        <v>596898.84328688146</v>
      </c>
      <c r="Z343" s="8">
        <v>-60374.003286881489</v>
      </c>
    </row>
    <row r="344" spans="24:26">
      <c r="X344" s="8">
        <v>311</v>
      </c>
      <c r="Y344" s="8">
        <v>633473.48430645303</v>
      </c>
      <c r="Z344" s="8">
        <v>-11796.184306452982</v>
      </c>
    </row>
    <row r="345" spans="24:26">
      <c r="X345" s="8">
        <v>312</v>
      </c>
      <c r="Y345" s="8">
        <v>742930.90362888249</v>
      </c>
      <c r="Z345" s="8">
        <v>28198.166371117462</v>
      </c>
    </row>
    <row r="346" spans="24:26">
      <c r="X346" s="8">
        <v>313</v>
      </c>
      <c r="Y346" s="8">
        <v>703064.55662899965</v>
      </c>
      <c r="Z346" s="8">
        <v>-1012.0866289996775</v>
      </c>
    </row>
    <row r="347" spans="24:26">
      <c r="X347" s="8">
        <v>314</v>
      </c>
      <c r="Y347" s="8">
        <v>712955.39769835561</v>
      </c>
      <c r="Z347" s="8">
        <v>-24586.937698355643</v>
      </c>
    </row>
    <row r="348" spans="24:26">
      <c r="X348" s="8">
        <v>315</v>
      </c>
      <c r="Y348" s="8">
        <v>672770.11795317859</v>
      </c>
      <c r="Z348" s="8">
        <v>39605.652046821429</v>
      </c>
    </row>
    <row r="349" spans="24:26">
      <c r="X349" s="8">
        <v>316</v>
      </c>
      <c r="Y349" s="8">
        <v>808672.49402639235</v>
      </c>
      <c r="Z349" s="8">
        <v>36038.175973607693</v>
      </c>
    </row>
    <row r="350" spans="24:26">
      <c r="X350" s="8">
        <v>317</v>
      </c>
      <c r="Y350" s="8">
        <v>667793.96225007321</v>
      </c>
      <c r="Z350" s="8">
        <v>-47529.762250073254</v>
      </c>
    </row>
    <row r="351" spans="24:26">
      <c r="X351" s="8">
        <v>318</v>
      </c>
      <c r="Y351" s="8">
        <v>551251.08089890471</v>
      </c>
      <c r="Z351" s="8">
        <v>-14405.660898904665</v>
      </c>
    </row>
    <row r="352" spans="24:26">
      <c r="X352" s="8">
        <v>319</v>
      </c>
      <c r="Y352" s="8">
        <v>741695.48227439425</v>
      </c>
      <c r="Z352" s="8">
        <v>-14919.262274394277</v>
      </c>
    </row>
    <row r="353" spans="24:26" ht="15" thickBot="1">
      <c r="X353" s="9">
        <v>320</v>
      </c>
      <c r="Y353" s="9">
        <v>617147.47982416314</v>
      </c>
      <c r="Z353" s="9">
        <v>-57486.639824163169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I35" sqref="I35"/>
    </sheetView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102</v>
      </c>
      <c r="B1" s="1" t="s">
        <v>103</v>
      </c>
    </row>
    <row r="2" spans="1:2" ht="15">
      <c r="A2" s="3" t="s">
        <v>0</v>
      </c>
      <c r="B2" s="3" t="s">
        <v>104</v>
      </c>
    </row>
    <row r="3" spans="1:2" ht="15">
      <c r="A3" s="3" t="s">
        <v>1</v>
      </c>
      <c r="B3" s="3" t="s">
        <v>105</v>
      </c>
    </row>
    <row r="4" spans="1:2" ht="15">
      <c r="A4" s="3" t="s">
        <v>2</v>
      </c>
      <c r="B4" s="3" t="s">
        <v>106</v>
      </c>
    </row>
    <row r="5" spans="1:2" ht="30">
      <c r="A5" s="3" t="s">
        <v>3</v>
      </c>
      <c r="B5" s="3" t="s">
        <v>107</v>
      </c>
    </row>
    <row r="6" spans="1:2" ht="30">
      <c r="A6" s="3" t="s">
        <v>4</v>
      </c>
      <c r="B6" s="3" t="s">
        <v>108</v>
      </c>
    </row>
    <row r="7" spans="1:2" ht="15">
      <c r="A7" s="3" t="s">
        <v>5</v>
      </c>
      <c r="B7" s="3" t="s">
        <v>109</v>
      </c>
    </row>
    <row r="8" spans="1:2" ht="30">
      <c r="A8" s="3" t="s">
        <v>6</v>
      </c>
      <c r="B8" s="3" t="s">
        <v>110</v>
      </c>
    </row>
    <row r="9" spans="1:2" ht="15">
      <c r="A9" s="3" t="s">
        <v>7</v>
      </c>
      <c r="B9" s="3" t="s">
        <v>111</v>
      </c>
    </row>
    <row r="10" spans="1:2" ht="30">
      <c r="A10" s="3" t="s">
        <v>8</v>
      </c>
      <c r="B10" s="3" t="s">
        <v>112</v>
      </c>
    </row>
    <row r="11" spans="1:2" ht="15">
      <c r="A11" s="3" t="s">
        <v>9</v>
      </c>
      <c r="B11" s="3" t="s">
        <v>113</v>
      </c>
    </row>
    <row r="12" spans="1:2" ht="45">
      <c r="A12" s="3" t="s">
        <v>10</v>
      </c>
      <c r="B12" s="3" t="s">
        <v>114</v>
      </c>
    </row>
    <row r="13" spans="1:2" ht="15">
      <c r="A13" s="3" t="s">
        <v>11</v>
      </c>
      <c r="B13" s="3" t="s">
        <v>115</v>
      </c>
    </row>
    <row r="14" spans="1:2" ht="30">
      <c r="A14" s="3" t="s">
        <v>12</v>
      </c>
      <c r="B14" s="3" t="s">
        <v>116</v>
      </c>
    </row>
    <row r="15" spans="1:2" ht="30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store_performance</vt:lpstr>
      <vt:lpstr>prepared data sheet</vt:lpstr>
      <vt:lpstr>dummy_variable</vt:lpstr>
      <vt:lpstr>Simple Regression</vt:lpstr>
      <vt:lpstr>Multiple Regression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prakharsri7@gmail.com</cp:lastModifiedBy>
  <dcterms:created xsi:type="dcterms:W3CDTF">2026-06-28T10:13:31Z</dcterms:created>
  <dcterms:modified xsi:type="dcterms:W3CDTF">2026-06-28T11:35:19Z</dcterms:modified>
</cp:coreProperties>
</file>